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vharsh/Farm-Intelligence-App/"/>
    </mc:Choice>
  </mc:AlternateContent>
  <xr:revisionPtr revIDLastSave="0" documentId="8_{B9F00888-598E-F24D-9656-C135255528BD}" xr6:coauthVersionLast="47" xr6:coauthVersionMax="47" xr10:uidLastSave="{00000000-0000-0000-0000-000000000000}"/>
  <bookViews>
    <workbookView xWindow="0" yWindow="660" windowWidth="29400" windowHeight="18460" tabRatio="500" firstSheet="2" activeTab="5" xr2:uid="{00000000-000D-0000-FFFF-FFFF00000000}"/>
  </bookViews>
  <sheets>
    <sheet name="README" sheetId="1" r:id="rId1"/>
    <sheet name="99_LISTS" sheetId="2" r:id="rId2"/>
    <sheet name="00_FARM_PROFILE" sheetId="3" r:id="rId3"/>
    <sheet name="01_STAFF" sheetId="4" r:id="rId4"/>
    <sheet name="02_EXPENSES" sheetId="5" r:id="rId5"/>
    <sheet name="03_REVENUE" sheetId="6" r:id="rId6"/>
    <sheet name="04_LABOUR_LOG" sheetId="7" r:id="rId7"/>
    <sheet name="05_WEATHER_LOG" sheetId="8" r:id="rId8"/>
    <sheet name="06_FEED_INVENTORY" sheetId="9" r:id="rId9"/>
    <sheet name="07_HEALTH_LOG" sheetId="10" r:id="rId10"/>
    <sheet name="P1_PIG_BATCHES" sheetId="11" r:id="rId11"/>
    <sheet name="P2_PIG_DAILY_LOG" sheetId="12" r:id="rId12"/>
    <sheet name="P3_PIG_WEIGHTS" sheetId="13" r:id="rId13"/>
    <sheet name="P4_SOW_REGISTER" sheetId="14" r:id="rId14"/>
    <sheet name="P5_BREEDING_FARROWING" sheetId="15" r:id="rId15"/>
    <sheet name="C1_POULTRY_BATCHES" sheetId="16" r:id="rId16"/>
    <sheet name="C2_POULTRY_DAILY_LOG" sheetId="17" r:id="rId17"/>
    <sheet name="C3_POULTRY_WEIGHTS" sheetId="18" r:id="rId18"/>
    <sheet name="F1_PLOTS" sheetId="19" r:id="rId19"/>
    <sheet name="F2_PLANTINGS" sheetId="20" r:id="rId20"/>
    <sheet name="F3_FIELD_OPERATIONS" sheetId="21" r:id="rId21"/>
    <sheet name="F4_SCOUTING_LOG" sheetId="22" r:id="rId22"/>
    <sheet name="F5_HARVEST_LOG" sheetId="23" r:id="rId23"/>
  </sheets>
  <definedNames>
    <definedName name="LIST_BIRD_TYPE">'99_LISTS'!$Y$2:$Y$3</definedName>
    <definedName name="LIST_BREED_PIG">'99_LISTS'!$S$2:$S$4</definedName>
    <definedName name="LIST_BREED_POULTRY">'99_LISTS'!$Z$2:$Z$5</definedName>
    <definedName name="LIST_CHANNEL">'99_LISTS'!$K$2:$K$6</definedName>
    <definedName name="LIST_CROP">'99_LISTS'!$AE$2:$AE$7</definedName>
    <definedName name="LIST_CURRENCY">'99_LISTS'!$C$2:$C$3</definedName>
    <definedName name="LIST_DOMAIN">'99_LISTS'!$A$2:$A$5</definedName>
    <definedName name="LIST_EXP_CATEGORY">'99_LISTS'!$F$2:$F$15</definedName>
    <definedName name="LIST_FEED_TYPE">'99_LISTS'!$O$2:$O$12</definedName>
    <definedName name="LIST_GRADE">'99_LISTS'!$AM$2:$AM$5</definedName>
    <definedName name="LIST_GROWTH_STAGE">'99_LISTS'!$AJ$2:$AJ$7</definedName>
    <definedName name="LIST_HEALTH_EVENT">'99_LISTS'!$P$2:$P$4</definedName>
    <definedName name="LIST_IRRIGATION_TYPE">'99_LISTS'!$AD$2:$AD$5</definedName>
    <definedName name="LIST_ISSUE_TYPE">'99_LISTS'!$AK$2:$AK$6</definedName>
    <definedName name="LIST_LITTER_CONDITION">'99_LISTS'!$AB$2:$AB$5</definedName>
    <definedName name="LIST_OP_TYPE">'99_LISTS'!$AH$2:$AH$11</definedName>
    <definedName name="LIST_OUTCOME">'99_LISTS'!$R$2:$R$5</definedName>
    <definedName name="LIST_PAY_TYPE">'99_LISTS'!$E$2:$E$4</definedName>
    <definedName name="LIST_PAYMENT_METHOD">'99_LISTS'!$H$2:$H$5</definedName>
    <definedName name="LIST_PAYMENT_STATUS">'99_LISTS'!$L$2:$L$4</definedName>
    <definedName name="LIST_PEN_CONDITION">'99_LISTS'!$V$2:$V$5</definedName>
    <definedName name="LIST_PLANTING_STATUS">'99_LISTS'!$AG$2:$AG$4</definedName>
    <definedName name="LIST_POULTRY_STATUS">'99_LISTS'!$AA$2:$AA$6</definedName>
    <definedName name="LIST_PRODUCT">'99_LISTS'!$I$2:$I$10</definedName>
    <definedName name="LIST_ROLE">'99_LISTS'!$D$2:$D$6</definedName>
    <definedName name="LIST_SEASON">'99_LISTS'!$AF$2:$AF$5</definedName>
    <definedName name="LIST_SERVICE_TYPE">'99_LISTS'!$X$2:$X$3</definedName>
    <definedName name="LIST_SOIL_MOISTURE">'99_LISTS'!$AL$2:$AL$4</definedName>
    <definedName name="LIST_SOIL_TYPE">'99_LISTS'!$AC$2:$AC$5</definedName>
    <definedName name="LIST_SOURCE">'99_LISTS'!$T$2:$T$3</definedName>
    <definedName name="LIST_SOW_STATUS">'99_LISTS'!$W$2:$W$6</definedName>
    <definedName name="LIST_STATUS_BATCH">'99_LISTS'!$U$2:$U$4</definedName>
    <definedName name="LIST_STORAGE">'99_LISTS'!$AN$2:$AN$5</definedName>
    <definedName name="LIST_SYMPTOM">'99_LISTS'!$Q$2:$Q$8</definedName>
    <definedName name="LIST_TASK">'99_LISTS'!$M$2:$M$11</definedName>
    <definedName name="LIST_UNIT_FIELD">'99_LISTS'!$AI$2:$AI$5</definedName>
    <definedName name="LIST_UNIT_GENERAL">'99_LISTS'!$G$2:$G$8</definedName>
    <definedName name="LIST_UNIT_SALES">'99_LISTS'!$J$2:$J$6</definedName>
    <definedName name="LIST_WEATHER_EVENT">'99_LISTS'!$N$2:$N$7</definedName>
    <definedName name="LIST_YESNO">'99_LISTS'!$B$2:$B$3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23" l="1"/>
  <c r="F3" i="15"/>
  <c r="G3" i="13"/>
  <c r="I3" i="12"/>
  <c r="G3" i="7"/>
  <c r="G3" i="6"/>
  <c r="H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200-000001000000}">
      <text>
        <r>
          <rPr>
            <sz val="10"/>
            <rFont val="Arial"/>
            <family val="2"/>
          </rPr>
          <t>NIS-001 — prefix used on every other sheet</t>
        </r>
      </text>
    </comment>
    <comment ref="C2" authorId="0" shapeId="0" xr:uid="{00000000-0006-0000-0200-000003000000}">
      <text>
        <r>
          <rPr>
            <sz val="10"/>
            <rFont val="Arial"/>
            <family val="2"/>
          </rPr>
          <t>used for rainfall benchmarks</t>
        </r>
      </text>
    </comment>
    <comment ref="D2" authorId="0" shapeId="0" xr:uid="{00000000-0006-0000-0200-000004000000}">
      <text>
        <r>
          <rPr>
            <sz val="10"/>
            <rFont val="Arial"/>
            <family val="2"/>
          </rPr>
          <t>Never mix currencies in one workbook</t>
        </r>
      </text>
    </comment>
    <comment ref="A3" authorId="0" shapeId="0" xr:uid="{00000000-0006-0000-0200-000002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300-000001000000}">
      <text>
        <r>
          <rPr>
            <sz val="10"/>
            <rFont val="Arial"/>
            <family val="2"/>
          </rPr>
          <t>S01 — short codes, workers can't spell-match names</t>
        </r>
      </text>
    </comment>
    <comment ref="F2" authorId="0" shapeId="0" xr:uid="{00000000-0006-0000-0300-000003000000}">
      <text>
        <r>
          <rPr>
            <sz val="10"/>
            <rFont val="Arial"/>
            <family val="2"/>
          </rPr>
          <t>per day / month / unit — the labour_cost formula in 04_LABOUR_LOG assumes a DAILY rate; adjust the formula for monthly/piece-rate staff</t>
        </r>
      </text>
    </comment>
    <comment ref="A3" authorId="0" shapeId="0" xr:uid="{00000000-0006-0000-0300-000002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400-000002000000}">
      <text>
        <r>
          <rPr>
            <sz val="10"/>
            <rFont val="Arial"/>
            <family val="2"/>
          </rPr>
          <t>NEVER free text</t>
        </r>
      </text>
    </comment>
    <comment ref="H2" authorId="0" shapeId="0" xr:uid="{00000000-0006-0000-0400-000003000000}">
      <text>
        <r>
          <rPr>
            <sz val="10"/>
            <rFont val="Arial"/>
            <family val="2"/>
          </rPr>
          <t>=quantity*unit_cost, but editable for haggled prices</t>
        </r>
      </text>
    </comment>
    <comment ref="I2" authorId="0" shapeId="0" xr:uid="{00000000-0006-0000-0400-000004000000}">
      <text>
        <r>
          <rPr>
            <sz val="10"/>
            <rFont val="Arial"/>
            <family val="2"/>
          </rPr>
          <t>pick from a past entry or type a new supplier</t>
        </r>
      </text>
    </comment>
    <comment ref="K2" authorId="0" shapeId="0" xr:uid="{00000000-0006-0000-0400-000005000000}">
      <text>
        <r>
          <rPr>
            <sz val="10"/>
            <rFont val="Arial"/>
            <family val="2"/>
          </rPr>
          <t>Optional — link to a PIG-/BRO-/MZ- batch code for per-batch P&amp;L</t>
        </r>
      </text>
    </comment>
    <comment ref="L2" authorId="0" shapeId="0" xr:uid="{00000000-0006-0000-0400-000006000000}">
      <text>
        <r>
          <rPr>
            <sz val="10"/>
            <rFont val="Arial"/>
            <family val="2"/>
          </rPr>
          <t>How a 'shared' cost should be split, e.g. '60/40 pigs/chickens'</t>
        </r>
      </text>
    </comment>
    <comment ref="M2" authorId="0" shapeId="0" xr:uid="{00000000-0006-0000-0400-000007000000}">
      <text>
        <r>
          <rPr>
            <sz val="10"/>
            <rFont val="Arial"/>
            <family val="2"/>
          </rPr>
          <t>staff_code from 01_STAFF</t>
        </r>
      </text>
    </comment>
    <comment ref="A3" authorId="0" shapeId="0" xr:uid="{00000000-0006-0000-04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500-000002000000}">
      <text>
        <r>
          <rPr>
            <sz val="10"/>
            <rFont val="Arial"/>
            <family val="2"/>
          </rPr>
          <t>animals only</t>
        </r>
      </text>
    </comment>
    <comment ref="I2" authorId="0" shapeId="0" xr:uid="{00000000-0006-0000-0500-000003000000}">
      <text>
        <r>
          <rPr>
            <sz val="10"/>
            <rFont val="Arial"/>
            <family val="2"/>
          </rPr>
          <t>animals only — enables $/kg liveweight analysis</t>
        </r>
      </text>
    </comment>
    <comment ref="J2" authorId="0" shapeId="0" xr:uid="{00000000-0006-0000-0500-000004000000}">
      <text>
        <r>
          <rPr>
            <sz val="10"/>
            <rFont val="Arial"/>
            <family val="2"/>
          </rPr>
          <t>A/B/C, Grade A eggs, Grade 1 maize</t>
        </r>
      </text>
    </comment>
    <comment ref="M2" authorId="0" shapeId="0" xr:uid="{00000000-0006-0000-0500-000005000000}">
      <text>
        <r>
          <rPr>
            <sz val="10"/>
            <rFont val="Arial"/>
            <family val="2"/>
          </rPr>
          <t>Debtor questions depend on this</t>
        </r>
      </text>
    </comment>
    <comment ref="A3" authorId="0" shapeId="0" xr:uid="{00000000-0006-0000-05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600-000002000000}">
      <text>
        <r>
          <rPr>
            <sz val="10"/>
            <rFont val="Arial"/>
            <family val="2"/>
          </rPr>
          <t>staff_code from 01_STAFF</t>
        </r>
      </text>
    </comment>
    <comment ref="E2" authorId="0" shapeId="0" xr:uid="{00000000-0006-0000-0600-000003000000}">
      <text>
        <r>
          <rPr>
            <sz val="10"/>
            <rFont val="Arial"/>
            <family val="2"/>
          </rPr>
          <t>0.5 increments</t>
        </r>
      </text>
    </comment>
    <comment ref="G2" authorId="0" shapeId="0" xr:uid="{00000000-0006-0000-0600-000004000000}">
      <text>
        <r>
          <rPr>
            <sz val="10"/>
            <rFont val="Arial"/>
            <family val="2"/>
          </rPr>
          <t>hours x rate, looked up from 01_STAFF</t>
        </r>
      </text>
    </comment>
    <comment ref="H2" authorId="0" shapeId="0" xr:uid="{00000000-0006-0000-0600-000005000000}">
      <text>
        <r>
          <rPr>
            <sz val="10"/>
            <rFont val="Arial"/>
            <family val="2"/>
          </rPr>
          <t>optional</t>
        </r>
      </text>
    </comment>
    <comment ref="A3" authorId="0" shapeId="0" xr:uid="{00000000-0006-0000-06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7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0800-000002000000}">
      <text>
        <r>
          <rPr>
            <sz val="10"/>
            <rFont val="Arial"/>
            <family val="2"/>
          </rPr>
          <t>carry forward from last week's closing_kg</t>
        </r>
      </text>
    </comment>
    <comment ref="F2" authorId="0" shapeId="0" xr:uid="{00000000-0006-0000-0800-000003000000}">
      <text>
        <r>
          <rPr>
            <sz val="10"/>
            <rFont val="Arial"/>
            <family val="2"/>
          </rPr>
          <t>sum of feed_kg from the daily log for this domain+feed_type over the week — set up as SUMIFS once live in Google Sheets</t>
        </r>
      </text>
    </comment>
    <comment ref="G2" authorId="0" shapeId="0" xr:uid="{00000000-0006-0000-0800-000004000000}">
      <text>
        <r>
          <rPr>
            <sz val="10"/>
            <rFont val="Arial"/>
            <family val="2"/>
          </rPr>
          <t>spillage, spoiled, rats</t>
        </r>
      </text>
    </comment>
    <comment ref="H2" authorId="0" shapeId="0" xr:uid="{00000000-0006-0000-0800-000005000000}">
      <text>
        <r>
          <rPr>
            <sz val="10"/>
            <rFont val="Arial"/>
            <family val="2"/>
          </rPr>
          <t>physically counted bags x bag size</t>
        </r>
      </text>
    </comment>
    <comment ref="A3" authorId="0" shapeId="0" xr:uid="{00000000-0006-0000-08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0900-000002000000}">
      <text>
        <r>
          <rPr>
            <sz val="10"/>
            <rFont val="Arial"/>
            <family val="2"/>
          </rPr>
          <t>sows/boars only; blank for flock-level</t>
        </r>
      </text>
    </comment>
    <comment ref="H2" authorId="0" shapeId="0" xr:uid="{00000000-0006-0000-0900-000003000000}">
      <text>
        <r>
          <rPr>
            <sz val="10"/>
            <rFont val="Arial"/>
            <family val="2"/>
          </rPr>
          <t>e.g. Newcastle LaSota, Gumboro, Ivermectin, Oxytet LA, Amprolium</t>
        </r>
      </text>
    </comment>
    <comment ref="L2" authorId="0" shapeId="0" xr:uid="{00000000-0006-0000-0900-000004000000}">
      <text>
        <r>
          <rPr>
            <sz val="10"/>
            <rFont val="Arial"/>
            <family val="2"/>
          </rPr>
          <t>Enter expected withdrawal end date from the product label</t>
        </r>
      </text>
    </comment>
    <comment ref="A3" authorId="0" shapeId="0" xr:uid="{00000000-0006-0000-09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A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B00-000002000000}">
      <text>
        <r>
          <rPr>
            <sz val="10"/>
            <rFont val="Arial"/>
            <family val="2"/>
          </rPr>
          <t>buckets x bucket weight is fine</t>
        </r>
      </text>
    </comment>
    <comment ref="I2" authorId="0" shapeId="0" xr:uid="{00000000-0006-0000-0B00-000003000000}">
      <text>
        <r>
          <rPr>
            <sz val="10"/>
            <rFont val="Arial"/>
            <family val="2"/>
          </rPr>
          <t>auto: batch start_count minus deaths, culls, sales to date</t>
        </r>
      </text>
    </comment>
    <comment ref="A3" authorId="0" shapeId="0" xr:uid="{00000000-0006-0000-0B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C00-000002000000}">
      <text>
        <r>
          <rPr>
            <sz val="10"/>
            <rFont val="Arial"/>
            <family val="2"/>
          </rPr>
          <t>min 8 pigs</t>
        </r>
      </text>
    </comment>
    <comment ref="F2" authorId="0" shapeId="0" xr:uid="{00000000-0006-0000-0C00-000003000000}">
      <text>
        <r>
          <rPr>
            <sz val="10"/>
            <rFont val="Arial"/>
            <family val="2"/>
          </rPr>
          <t>spread reveals runts / feeder problems</t>
        </r>
      </text>
    </comment>
    <comment ref="G2" authorId="0" shapeId="0" xr:uid="{00000000-0006-0000-0C00-000004000000}">
      <text>
        <r>
          <rPr>
            <sz val="10"/>
            <rFont val="Arial"/>
            <family val="2"/>
          </rPr>
          <t>auto: today minus the batch start_date</t>
        </r>
      </text>
    </comment>
    <comment ref="A3" authorId="0" shapeId="0" xr:uid="{00000000-0006-0000-0C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D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00000000-0006-0000-0E00-000002000000}">
      <text>
        <r>
          <rPr>
            <sz val="10"/>
            <rFont val="Arial"/>
            <family val="2"/>
          </rPr>
          <t>auto: service_date + 114 days</t>
        </r>
      </text>
    </comment>
    <comment ref="O2" authorId="0" shapeId="0" xr:uid="{00000000-0006-0000-0E00-000003000000}">
      <text>
        <r>
          <rPr>
            <sz val="10"/>
            <rFont val="Arial"/>
            <family val="2"/>
          </rPr>
          <t>links weaners into P1_PIG_BATCHES</t>
        </r>
      </text>
    </comment>
    <comment ref="A3" authorId="0" shapeId="0" xr:uid="{00000000-0006-0000-0E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" authorId="0" shapeId="0" xr:uid="{00000000-0006-0000-0F00-000002000000}">
      <text>
        <r>
          <rPr>
            <sz val="10"/>
            <rFont val="Arial"/>
            <family val="2"/>
          </rPr>
          <t>day 42 broilers / 72 weeks layers</t>
        </r>
      </text>
    </comment>
    <comment ref="A3" authorId="0" shapeId="0" xr:uid="{00000000-0006-0000-0F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1000-000002000000}">
      <text>
        <r>
          <rPr>
            <sz val="10"/>
            <rFont val="Arial"/>
            <family val="2"/>
          </rPr>
          <t>auto: today minus placement_date</t>
        </r>
      </text>
    </comment>
    <comment ref="F2" authorId="0" shapeId="0" xr:uid="{00000000-0006-0000-1000-000003000000}">
      <text>
        <r>
          <rPr>
            <sz val="10"/>
            <rFont val="Arial"/>
            <family val="2"/>
          </rPr>
          <t>auto: chicks_placed minus cumulative deaths/culls</t>
        </r>
      </text>
    </comment>
    <comment ref="I2" authorId="0" shapeId="0" xr:uid="{00000000-0006-0000-1000-000004000000}">
      <text>
        <r>
          <rPr>
            <sz val="10"/>
            <rFont val="Arial"/>
            <family val="2"/>
          </rPr>
          <t>water:feed ratio is the earliest disease alarm</t>
        </r>
      </text>
    </comment>
    <comment ref="L2" authorId="0" shapeId="0" xr:uid="{00000000-0006-0000-1000-000005000000}">
      <text>
        <r>
          <rPr>
            <sz val="10"/>
            <rFont val="Arial"/>
            <family val="2"/>
          </rPr>
          <t>layers</t>
        </r>
      </text>
    </comment>
    <comment ref="A3" authorId="0" shapeId="0" xr:uid="{00000000-0006-0000-10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1100-000002000000}">
      <text>
        <r>
          <rPr>
            <sz val="10"/>
            <rFont val="Arial"/>
            <family val="2"/>
          </rPr>
          <t>auto: today minus placement_date</t>
        </r>
      </text>
    </comment>
    <comment ref="D2" authorId="0" shapeId="0" xr:uid="{00000000-0006-0000-1100-000003000000}">
      <text>
        <r>
          <rPr>
            <sz val="10"/>
            <rFont val="Arial"/>
            <family val="2"/>
          </rPr>
          <t>min 20 birds</t>
        </r>
      </text>
    </comment>
    <comment ref="F2" authorId="0" shapeId="0" xr:uid="{00000000-0006-0000-1100-000004000000}">
      <text>
        <r>
          <rPr>
            <sz val="10"/>
            <rFont val="Arial"/>
            <family val="2"/>
          </rPr>
          <t>% within +-10% of mean</t>
        </r>
      </text>
    </comment>
    <comment ref="A3" authorId="0" shapeId="0" xr:uid="{00000000-0006-0000-11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12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13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1400-000002000000}">
      <text>
        <r>
          <rPr>
            <sz val="10"/>
            <rFont val="Arial"/>
            <family val="2"/>
          </rPr>
          <t>e.g. Compound D, AN, Urea, Glyphosate, Karate</t>
        </r>
      </text>
    </comment>
    <comment ref="E2" authorId="0" shapeId="0" xr:uid="{00000000-0006-0000-1400-000003000000}">
      <text>
        <r>
          <rPr>
            <sz val="10"/>
            <rFont val="Arial"/>
            <family val="2"/>
          </rPr>
          <t>e.g. '250 kg/ha'</t>
        </r>
      </text>
    </comment>
    <comment ref="J2" authorId="0" shapeId="0" xr:uid="{00000000-0006-0000-1400-000004000000}">
      <text>
        <r>
          <rPr>
            <sz val="10"/>
            <rFont val="Arial"/>
            <family val="2"/>
          </rPr>
          <t>tractor / pump</t>
        </r>
      </text>
    </comment>
    <comment ref="A3" authorId="0" shapeId="0" xr:uid="{00000000-0006-0000-14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1500-000002000000}">
      <text>
        <r>
          <rPr>
            <sz val="10"/>
            <rFont val="Arial"/>
            <family val="2"/>
          </rPr>
          <t>e.g. Fall armyworm, Stalk borer, Grey leaf spot, Aphids, Nitrogen deficiency</t>
        </r>
      </text>
    </comment>
    <comment ref="G2" authorId="0" shapeId="0" xr:uid="{00000000-0006-0000-1500-000003000000}">
      <text>
        <r>
          <rPr>
            <sz val="10"/>
            <rFont val="Arial"/>
            <family val="2"/>
          </rPr>
          <t>% plants affected in a 20-plant count</t>
        </r>
      </text>
    </comment>
    <comment ref="A3" authorId="0" shapeId="0" xr:uid="{00000000-0006-0000-15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1600-000002000000}">
      <text>
        <r>
          <rPr>
            <sz val="10"/>
            <rFont val="Arial"/>
            <family val="2"/>
          </rPr>
          <t>counted, not estimated</t>
        </r>
      </text>
    </comment>
    <comment ref="D2" authorId="0" shapeId="0" xr:uid="{00000000-0006-0000-1600-000003000000}">
      <text>
        <r>
          <rPr>
            <sz val="10"/>
            <rFont val="Arial"/>
            <family val="2"/>
          </rPr>
          <t>auto: bags x 50kg standard bag weight, overridable</t>
        </r>
      </text>
    </comment>
    <comment ref="A3" authorId="0" shapeId="0" xr:uid="{00000000-0006-0000-1600-000001000000}">
      <text>
        <r>
          <rPr>
            <sz val="10"/>
            <rFont val="Arial"/>
            <family val="2"/>
          </rPr>
          <t>SAMPLE ROW — shows expected format. Overwrite or delete before real entry.</t>
        </r>
      </text>
    </comment>
  </commentList>
</comments>
</file>

<file path=xl/sharedStrings.xml><?xml version="1.0" encoding="utf-8"?>
<sst xmlns="http://schemas.openxmlformats.org/spreadsheetml/2006/main" count="618" uniqueCount="457">
  <si>
    <t>Netrisyl Farm Intelligence — Data Entry Workbook</t>
  </si>
  <si>
    <t>One workbook per farm. Import this file into Google Sheets (File &gt; Import &gt; Replace spreadsheet) and it becomes the farm's live data-entry sheet.</t>
  </si>
  <si>
    <t>HOW THE TABS ARE ORGANISED</t>
  </si>
  <si>
    <t xml:space="preserve">  00-07  Shared CORE tabs — money, people, weather, feed store, health. Always installed, regardless of which modules a farm runs.</t>
  </si>
  <si>
    <t xml:space="preserve">  P1-P5  PIGGERY module — remove these tabs entirely for a farm with no pigs.</t>
  </si>
  <si>
    <t xml:space="preserve">  C1-C3  POULTRY module — remove these tabs entirely for a farm with no birds.</t>
  </si>
  <si>
    <t xml:space="preserve">  F1-F5  CROPS module — remove these tabs entirely for a farm with no fields.</t>
  </si>
  <si>
    <t xml:space="preserve">  99_LISTS  Hidden reference tab. Every dropdown pulls its options from here — edit a list once here and every sheet using it updates.</t>
  </si>
  <si>
    <t>THE THREE JOIN KEYS</t>
  </si>
  <si>
    <t xml:space="preserve">  farm_code   Not repeated on every sheet in this single-farm file, but add it back as the first column on every tab once you consolidate multiple farms into one Supabase project.</t>
  </si>
  <si>
    <t xml:space="preserve">  domain      piggery | poultry | crops | shared — appears on every CORE tab so a query like 'feed cost split between pigs and chickens' is a one-line GROUP BY.</t>
  </si>
  <si>
    <t xml:space="preserve">  batch_ref / batch_code   Links a cost, sale or health event back to a specific pig batch, poultry batch or crop planting for true per-batch profit and loss.</t>
  </si>
  <si>
    <t>HOW TO READ EACH TAB</t>
  </si>
  <si>
    <t xml:space="preserve">  Row 1: purpose, cadence and who enters it, in a small italic note.</t>
  </si>
  <si>
    <t xml:space="preserve">  Row 2: the column headers. Hover a header with a small red corner for extra guidance.</t>
  </si>
  <si>
    <t xml:space="preserve">  Row 3 (highlighted): a SAMPLE ROW showing the expected format — overwrite or delete it before real entry begins.</t>
  </si>
  <si>
    <t>FORMULA CELLS</t>
  </si>
  <si>
    <t xml:space="preserve">  A handful of fields (total_cost, total_amount, labour_cost, closing_count, age_days, expected_farrow_date, quantity_kg) are computed automatically. Copy the sample row's formula down the column as new rows are added — do not type over these cells with numbers.</t>
  </si>
  <si>
    <t>DYNAMIC DROPDOWNS (batch_code, staff_code, sow_tag, plot_code, etc.)</t>
  </si>
  <si>
    <t xml:space="preserve">  These are left as free text here because they grow as the farm operates (a new batch, a new staff member). Once this file is live in Google Sheets, turn each into a real dropdown: select the column &gt; Data &gt; Data validation &gt; 'Dropdown (from a range)' &gt; point it at the source column (e.g. batch_ref in P2_PIG_DAILY_LOG can point at batch_code in P1_PIG_BATCHES). Google Sheets keeps that range live as new batches are added — a static workbook like this one cannot.</t>
  </si>
  <si>
    <t>NEXT STEPS ONCE LIVE IN GOOGLE SHEETS</t>
  </si>
  <si>
    <t xml:space="preserve">  1. Add a 96_DAILY_ENTRY tab per domain — a stripped-down, single-screen form (8-12 cells) that a worker fills on a phone; an Apps Script trigger appends it into the real log tab.</t>
  </si>
  <si>
    <t xml:space="preserve">  2. Add a 97_SYNC_STATUS tab — written by the Sheets-to-Supabase sync job, showing rows accepted/rejected per run, so staff can see and fix failed entries.</t>
  </si>
  <si>
    <t xml:space="preserve">  3. Add a 98_BATCH_INDEX tab — an auto-generated list of every live batch/planting code, used as the source range for the batch_ref dropdowns above.</t>
  </si>
  <si>
    <t xml:space="preserve">  4. Lock dropdown columns and protect formula columns (Data &gt; Protect sheets and ranges) once real staff start entering data.</t>
  </si>
  <si>
    <t>ENTRY-BURDEN RULE OF THUMB</t>
  </si>
  <si>
    <t xml:space="preserve">  A daily log should take under 90 seconds per pen/house. A weekly one, under 10 minutes. If a worker can't finish it in the field, it will stop being filled in within a month.</t>
  </si>
  <si>
    <t>DOMAIN</t>
  </si>
  <si>
    <t>YESNO</t>
  </si>
  <si>
    <t>CURRENCY</t>
  </si>
  <si>
    <t>ROLE</t>
  </si>
  <si>
    <t>PAY_TYPE</t>
  </si>
  <si>
    <t>EXP_CATEGORY</t>
  </si>
  <si>
    <t>UNIT_GENERAL</t>
  </si>
  <si>
    <t>PAYMENT_METHOD</t>
  </si>
  <si>
    <t>PRODUCT</t>
  </si>
  <si>
    <t>UNIT_SALES</t>
  </si>
  <si>
    <t>CHANNEL</t>
  </si>
  <si>
    <t>PAYMENT_STATUS</t>
  </si>
  <si>
    <t>TASK</t>
  </si>
  <si>
    <t>WEATHER_EVENT</t>
  </si>
  <si>
    <t>FEED_TYPE</t>
  </si>
  <si>
    <t>HEALTH_EVENT</t>
  </si>
  <si>
    <t>SYMPTOM</t>
  </si>
  <si>
    <t>OUTCOME</t>
  </si>
  <si>
    <t>BREED_PIG</t>
  </si>
  <si>
    <t>SOURCE</t>
  </si>
  <si>
    <t>STATUS_BATCH</t>
  </si>
  <si>
    <t>PEN_CONDITION</t>
  </si>
  <si>
    <t>SOW_STATUS</t>
  </si>
  <si>
    <t>SERVICE_TYPE</t>
  </si>
  <si>
    <t>BIRD_TYPE</t>
  </si>
  <si>
    <t>BREED_POULTRY</t>
  </si>
  <si>
    <t>POULTRY_STATUS</t>
  </si>
  <si>
    <t>LITTER_CONDITION</t>
  </si>
  <si>
    <t>SOIL_TYPE</t>
  </si>
  <si>
    <t>IRRIGATION_TYPE</t>
  </si>
  <si>
    <t>CROP</t>
  </si>
  <si>
    <t>SEASON</t>
  </si>
  <si>
    <t>PLANTING_STATUS</t>
  </si>
  <si>
    <t>OP_TYPE</t>
  </si>
  <si>
    <t>UNIT_FIELD</t>
  </si>
  <si>
    <t>GROWTH_STAGE</t>
  </si>
  <si>
    <t>ISSUE_TYPE</t>
  </si>
  <si>
    <t>SOIL_MOISTURE</t>
  </si>
  <si>
    <t>GRADE</t>
  </si>
  <si>
    <t>STORAGE</t>
  </si>
  <si>
    <t>piggery</t>
  </si>
  <si>
    <t>Yes</t>
  </si>
  <si>
    <t>USD</t>
  </si>
  <si>
    <t>Pig attendant</t>
  </si>
  <si>
    <t>Daily</t>
  </si>
  <si>
    <t>Feed</t>
  </si>
  <si>
    <t>kg</t>
  </si>
  <si>
    <t>Cash</t>
  </si>
  <si>
    <t>Live pig</t>
  </si>
  <si>
    <t>Farm gate</t>
  </si>
  <si>
    <t>Paid</t>
  </si>
  <si>
    <t>Feeding</t>
  </si>
  <si>
    <t>Normal</t>
  </si>
  <si>
    <t>Pig starter</t>
  </si>
  <si>
    <t>Treatment</t>
  </si>
  <si>
    <t>Coughing</t>
  </si>
  <si>
    <t>Recovered</t>
  </si>
  <si>
    <t>Large White</t>
  </si>
  <si>
    <t>Own farrowing</t>
  </si>
  <si>
    <t>Active</t>
  </si>
  <si>
    <t>Dry</t>
  </si>
  <si>
    <t>Open</t>
  </si>
  <si>
    <t>Natural</t>
  </si>
  <si>
    <t>Broiler</t>
  </si>
  <si>
    <t>Ross 308</t>
  </si>
  <si>
    <t>Brooding</t>
  </si>
  <si>
    <t>Sandy</t>
  </si>
  <si>
    <t>Rainfed</t>
  </si>
  <si>
    <t>Maize</t>
  </si>
  <si>
    <t>2025 Summer</t>
  </si>
  <si>
    <t>Growing</t>
  </si>
  <si>
    <t>Land prep</t>
  </si>
  <si>
    <t>Emergence</t>
  </si>
  <si>
    <t>Pest</t>
  </si>
  <si>
    <t>A</t>
  </si>
  <si>
    <t>Store room</t>
  </si>
  <si>
    <t>poultry</t>
  </si>
  <si>
    <t>No</t>
  </si>
  <si>
    <t>ZWG</t>
  </si>
  <si>
    <t>Poultry attendant</t>
  </si>
  <si>
    <t>Monthly</t>
  </si>
  <si>
    <t>Day-old chicks</t>
  </si>
  <si>
    <t>bag</t>
  </si>
  <si>
    <t>EcoCash</t>
  </si>
  <si>
    <t>Pork carcass</t>
  </si>
  <si>
    <t>head</t>
  </si>
  <si>
    <t>Abattoir</t>
  </si>
  <si>
    <t>Partial</t>
  </si>
  <si>
    <t>Cleaning</t>
  </si>
  <si>
    <t>Heatwave</t>
  </si>
  <si>
    <t>Pig grower</t>
  </si>
  <si>
    <t>Vaccination</t>
  </si>
  <si>
    <t>Diarrhoea</t>
  </si>
  <si>
    <t>Died</t>
  </si>
  <si>
    <t>Landrace</t>
  </si>
  <si>
    <t>Bought-in</t>
  </si>
  <si>
    <t>Sold</t>
  </si>
  <si>
    <t>Damp</t>
  </si>
  <si>
    <t>Served</t>
  </si>
  <si>
    <t>AI</t>
  </si>
  <si>
    <t>Layer</t>
  </si>
  <si>
    <t>Cobb 500</t>
  </si>
  <si>
    <t>Sandy loam</t>
  </si>
  <si>
    <t>Drip</t>
  </si>
  <si>
    <t>Soyabean</t>
  </si>
  <si>
    <t>2025 Winter</t>
  </si>
  <si>
    <t>Harvested</t>
  </si>
  <si>
    <t>Planting</t>
  </si>
  <si>
    <t>litre</t>
  </si>
  <si>
    <t>V6</t>
  </si>
  <si>
    <t>Disease</t>
  </si>
  <si>
    <t>Moist</t>
  </si>
  <si>
    <t>B</t>
  </si>
  <si>
    <t>Silo 1</t>
  </si>
  <si>
    <t>crops</t>
  </si>
  <si>
    <t>Field hand</t>
  </si>
  <si>
    <t>Piece-rate</t>
  </si>
  <si>
    <t>Weaners</t>
  </si>
  <si>
    <t>Bank</t>
  </si>
  <si>
    <t>Weaner</t>
  </si>
  <si>
    <t>tray</t>
  </si>
  <si>
    <t>Contract</t>
  </si>
  <si>
    <t>Owing</t>
  </si>
  <si>
    <t>Weighing</t>
  </si>
  <si>
    <t>Hailstorm</t>
  </si>
  <si>
    <t>Pig finisher</t>
  </si>
  <si>
    <t>Inspection</t>
  </si>
  <si>
    <t>Lameness</t>
  </si>
  <si>
    <t>Culled</t>
  </si>
  <si>
    <t>Duroc cross</t>
  </si>
  <si>
    <t>Closed</t>
  </si>
  <si>
    <t>Wet</t>
  </si>
  <si>
    <t>Pregnant</t>
  </si>
  <si>
    <t>Hy-Line Brown</t>
  </si>
  <si>
    <t>Laying</t>
  </si>
  <si>
    <t>Caked</t>
  </si>
  <si>
    <t>Clay loam</t>
  </si>
  <si>
    <t>Sprinkler</t>
  </si>
  <si>
    <t>Groundnuts</t>
  </si>
  <si>
    <t>2026 Summer</t>
  </si>
  <si>
    <t>Failed</t>
  </si>
  <si>
    <t>Basal fert</t>
  </si>
  <si>
    <t>ml</t>
  </si>
  <si>
    <t>Tasselling</t>
  </si>
  <si>
    <t>Weed</t>
  </si>
  <si>
    <t>C</t>
  </si>
  <si>
    <t>Silo 2</t>
  </si>
  <si>
    <t>shared</t>
  </si>
  <si>
    <t>Supervisor</t>
  </si>
  <si>
    <t>Vet &amp; Meds</t>
  </si>
  <si>
    <t>Credit</t>
  </si>
  <si>
    <t>Live broiler</t>
  </si>
  <si>
    <t>Market</t>
  </si>
  <si>
    <t>Power cut</t>
  </si>
  <si>
    <t>Sow &amp; weaner meal</t>
  </si>
  <si>
    <t>Off-feed</t>
  </si>
  <si>
    <t>Ongoing</t>
  </si>
  <si>
    <t>Dirty</t>
  </si>
  <si>
    <t>Lactating</t>
  </si>
  <si>
    <t>Boschveld</t>
  </si>
  <si>
    <t>Red clay</t>
  </si>
  <si>
    <t>Flood</t>
  </si>
  <si>
    <t>Tomatoes</t>
  </si>
  <si>
    <t>2026 Winter</t>
  </si>
  <si>
    <t>Top dressing</t>
  </si>
  <si>
    <t>Silking</t>
  </si>
  <si>
    <t>Nutrient</t>
  </si>
  <si>
    <t>Reject</t>
  </si>
  <si>
    <t>Sold direct</t>
  </si>
  <si>
    <t>Casual</t>
  </si>
  <si>
    <t>Seed</t>
  </si>
  <si>
    <t>dose</t>
  </si>
  <si>
    <t>Dressed chicken</t>
  </si>
  <si>
    <t>crate</t>
  </si>
  <si>
    <t>Retail</t>
  </si>
  <si>
    <t>Frost</t>
  </si>
  <si>
    <t>Broiler starter</t>
  </si>
  <si>
    <t>Sneezing</t>
  </si>
  <si>
    <t>Cabbage</t>
  </si>
  <si>
    <t>Herbicide</t>
  </si>
  <si>
    <t>Grain fill</t>
  </si>
  <si>
    <t>None</t>
  </si>
  <si>
    <t>Fertiliser</t>
  </si>
  <si>
    <t>trip</t>
  </si>
  <si>
    <t>Table eggs</t>
  </si>
  <si>
    <t>Weeding</t>
  </si>
  <si>
    <t>Storm damage</t>
  </si>
  <si>
    <t>Broiler grower</t>
  </si>
  <si>
    <t>Drop in lay</t>
  </si>
  <si>
    <t>Sugar beans</t>
  </si>
  <si>
    <t>Pesticide</t>
  </si>
  <si>
    <t>Maturity</t>
  </si>
  <si>
    <t>Chemicals</t>
  </si>
  <si>
    <t>hour</t>
  </si>
  <si>
    <t>Maize grain</t>
  </si>
  <si>
    <t>Spraying</t>
  </si>
  <si>
    <t>Broiler finisher</t>
  </si>
  <si>
    <t>Fungicide</t>
  </si>
  <si>
    <t>Fuel</t>
  </si>
  <si>
    <t>Soya</t>
  </si>
  <si>
    <t>Harvest</t>
  </si>
  <si>
    <t>Layer mash</t>
  </si>
  <si>
    <t>Electricity</t>
  </si>
  <si>
    <t>Marketing</t>
  </si>
  <si>
    <t>Chick mash</t>
  </si>
  <si>
    <t>Irrigation</t>
  </si>
  <si>
    <t>Water</t>
  </si>
  <si>
    <t>Maintenance</t>
  </si>
  <si>
    <t>Maize bran</t>
  </si>
  <si>
    <t>Other</t>
  </si>
  <si>
    <t>Repairs</t>
  </si>
  <si>
    <t>Concentrate</t>
  </si>
  <si>
    <t>Transport</t>
  </si>
  <si>
    <t>Labour (contract)</t>
  </si>
  <si>
    <t>PURPOSE: Declares which modules are ACTIVE. The chatbot reads this first and refuses to answer for modules that are off.   |   CADENCE: Once at onboarding, reviewed quarterly   |   ENTERED BY: Farm owner / Netrisyl onboarding</t>
  </si>
  <si>
    <t>farm_code</t>
  </si>
  <si>
    <t>farm_name</t>
  </si>
  <si>
    <t>region_district</t>
  </si>
  <si>
    <t>currency</t>
  </si>
  <si>
    <t>total_hectares</t>
  </si>
  <si>
    <t>module_piggery_active</t>
  </si>
  <si>
    <t>module_poultry_active</t>
  </si>
  <si>
    <t>module_crops_active</t>
  </si>
  <si>
    <t>financial_year_start</t>
  </si>
  <si>
    <t>NIS-001</t>
  </si>
  <si>
    <t>Chiedza Mixed Farm</t>
  </si>
  <si>
    <t>Goromonzi, Mashonaland East</t>
  </si>
  <si>
    <t>2026-01-01</t>
  </si>
  <si>
    <t>PURPOSE: Turns initials scribbled on a paper log into a costable labour record.   |   CADENCE: On hire / change   |   ENTERED BY: Owner or supervisor</t>
  </si>
  <si>
    <t>staff_code</t>
  </si>
  <si>
    <t>full_name</t>
  </si>
  <si>
    <t>role</t>
  </si>
  <si>
    <t>primary_domain</t>
  </si>
  <si>
    <t>pay_type</t>
  </si>
  <si>
    <t>rate</t>
  </si>
  <si>
    <t>active</t>
  </si>
  <si>
    <t>S01</t>
  </si>
  <si>
    <t>Tendai Moyo</t>
  </si>
  <si>
    <t>PURPOSE: The single money-out ledger for all three domains. The domain column is what makes cross-domain cost questions possible.   |   CADENCE: Every purchase, same day   |   ENTERED BY: Owner / bookkeeper (from receipts)</t>
  </si>
  <si>
    <t>date</t>
  </si>
  <si>
    <t>domain</t>
  </si>
  <si>
    <t>category</t>
  </si>
  <si>
    <t>item</t>
  </si>
  <si>
    <t>quantity</t>
  </si>
  <si>
    <t>unit</t>
  </si>
  <si>
    <t>unit_cost</t>
  </si>
  <si>
    <t>total_cost</t>
  </si>
  <si>
    <t>supplier</t>
  </si>
  <si>
    <t>payment_method</t>
  </si>
  <si>
    <t>batch_ref</t>
  </si>
  <si>
    <t>allocation_note</t>
  </si>
  <si>
    <t>recorded_by</t>
  </si>
  <si>
    <t>2026-09-01</t>
  </si>
  <si>
    <t>Broiler starter 50kg</t>
  </si>
  <si>
    <t>Profeeds Marondera</t>
  </si>
  <si>
    <t>BRO-24</t>
  </si>
  <si>
    <t>PURPOSE: Single money-in ledger; per-domain sales all use identical columns.   |   CADENCE: Every sale   |   ENTERED BY: Owner / sales clerk</t>
  </si>
  <si>
    <t>product</t>
  </si>
  <si>
    <t>unit_price</t>
  </si>
  <si>
    <t>total_amount</t>
  </si>
  <si>
    <t>head_count</t>
  </si>
  <si>
    <t>avg_weight_kg</t>
  </si>
  <si>
    <t>grade</t>
  </si>
  <si>
    <t>buyer</t>
  </si>
  <si>
    <t>channel</t>
  </si>
  <si>
    <t>payment_status</t>
  </si>
  <si>
    <t>2026-09-03</t>
  </si>
  <si>
    <t>Local market vendor</t>
  </si>
  <si>
    <t>PURPOSE: Answers 'which enterprise eats my wage bill' and cost per kg produced.   |   CADENCE: Daily, one row per worker per domain   |   ENTERED BY: Supervisor at end of shift</t>
  </si>
  <si>
    <t>task</t>
  </si>
  <si>
    <t>hours</t>
  </si>
  <si>
    <t>overtime_hours</t>
  </si>
  <si>
    <t>labour_cost</t>
  </si>
  <si>
    <t>PURPOSE: Cross-domain explanatory variable: heat stress in poultry houses, rainfall vs crop stage, feed intake dips in pigs.   |   CADENCE: Daily, 30 seconds   |   ENTERED BY: Whoever opens the gate in the morning</t>
  </si>
  <si>
    <t>rainfall_mm</t>
  </si>
  <si>
    <t>temp_min_c</t>
  </si>
  <si>
    <t>temp_max_c</t>
  </si>
  <si>
    <t>humidity_pct</t>
  </si>
  <si>
    <t>event</t>
  </si>
  <si>
    <t>PURPOSE: THE cross-domain sheet. Pigs and chickens draw from the same store, so this is where 'feed cost split between pigs and chickens' is actually answered accurately.   |   CADENCE: Weekly stock count (+ every delivery)   |   ENTERED BY: Store keeper</t>
  </si>
  <si>
    <t>feed_type</t>
  </si>
  <si>
    <t>opening_kg</t>
  </si>
  <si>
    <t>received_kg</t>
  </si>
  <si>
    <t>used_kg</t>
  </si>
  <si>
    <t>waste_kg</t>
  </si>
  <si>
    <t>closing_kg</t>
  </si>
  <si>
    <t>unit_cost_per_kg</t>
  </si>
  <si>
    <t>2026-09-07</t>
  </si>
  <si>
    <t>PURPOSE: Unified livestock health ledger for pigs AND poultry — one shape, two domains, so disease-cost questions work across the farm.   |   CADENCE: Per event (treatment / vaccination)   |   ENTERED BY: Attendant or visiting vet</t>
  </si>
  <si>
    <t>animal_tag</t>
  </si>
  <si>
    <t>event_type</t>
  </si>
  <si>
    <t>symptom</t>
  </si>
  <si>
    <t>diagnosis</t>
  </si>
  <si>
    <t>animals_treated</t>
  </si>
  <si>
    <t>cost</t>
  </si>
  <si>
    <t>withdrawal_until</t>
  </si>
  <si>
    <t>outcome</t>
  </si>
  <si>
    <t>administered_by</t>
  </si>
  <si>
    <t>2026-08-20</t>
  </si>
  <si>
    <t>Newcastle LaSota</t>
  </si>
  <si>
    <t>1 drop/bird</t>
  </si>
  <si>
    <t>S02</t>
  </si>
  <si>
    <t>PURPOSE: Batch register — the anchor every piggery row points at.   |   CADENCE: On batch creation   |   ENTERED BY: Supervisor</t>
  </si>
  <si>
    <t>batch_code</t>
  </si>
  <si>
    <t>pen</t>
  </si>
  <si>
    <t>breed</t>
  </si>
  <si>
    <t>start_date</t>
  </si>
  <si>
    <t>start_count</t>
  </si>
  <si>
    <t>start_avg_kg</t>
  </si>
  <si>
    <t>source</t>
  </si>
  <si>
    <t>target_market_date</t>
  </si>
  <si>
    <t>status</t>
  </si>
  <si>
    <t>PIG-B07</t>
  </si>
  <si>
    <t>Pen 3</t>
  </si>
  <si>
    <t>2026-06-01</t>
  </si>
  <si>
    <t>2026-10-15</t>
  </si>
  <si>
    <t>PURPOSE: Feed, water, mortality, headcount. The engine of FCR, ADG and mortality analytics.   |   CADENCE: Daily, one row per pen   |   ENTERED BY: Pig attendant</t>
  </si>
  <si>
    <t>feed_kg</t>
  </si>
  <si>
    <t>water_litres</t>
  </si>
  <si>
    <t>deaths</t>
  </si>
  <si>
    <t>culls</t>
  </si>
  <si>
    <t>closing_count</t>
  </si>
  <si>
    <t>pen_temp_c</t>
  </si>
  <si>
    <t>pen_condition</t>
  </si>
  <si>
    <t>notes</t>
  </si>
  <si>
    <t>PURPOSE: Growth curve, ADG, days-to-market projection.   |   CADENCE: Fortnightly sample weighing   |   ENTERED BY: Attendant + supervisor</t>
  </si>
  <si>
    <t>sample_size</t>
  </si>
  <si>
    <t>min_weight_kg</t>
  </si>
  <si>
    <t>max_weight_kg</t>
  </si>
  <si>
    <t>age_days</t>
  </si>
  <si>
    <t>PURPOSE: Breeding herd inventory.   |   CADENCE: On arrival / status change   |   ENTERED BY: Supervisor</t>
  </si>
  <si>
    <t>sow_tag</t>
  </si>
  <si>
    <t>date_of_birth</t>
  </si>
  <si>
    <t>parity</t>
  </si>
  <si>
    <t>body_condition_1_5</t>
  </si>
  <si>
    <t>SOW-12</t>
  </si>
  <si>
    <t>2024-03-10</t>
  </si>
  <si>
    <t>PURPOSE: Litters/sow/year, born-alive, pre-wean mortality, farrowing rate — the real profit drivers of a piggery.   |   CADENCE: Per service / per farrowing / per weaning (3 touches per row)   |   ENTERED BY: Supervisor</t>
  </si>
  <si>
    <t>boar_tag</t>
  </si>
  <si>
    <t>service_date</t>
  </si>
  <si>
    <t>service_type</t>
  </si>
  <si>
    <t>pregnancy_confirmed</t>
  </si>
  <si>
    <t>expected_farrow_date</t>
  </si>
  <si>
    <t>farrow_date</t>
  </si>
  <si>
    <t>born_alive</t>
  </si>
  <si>
    <t>stillborn</t>
  </si>
  <si>
    <t>mummified</t>
  </si>
  <si>
    <t>avg_birth_weight_kg</t>
  </si>
  <si>
    <t>wean_date</t>
  </si>
  <si>
    <t>weaned_count</t>
  </si>
  <si>
    <t>avg_wean_weight_kg</t>
  </si>
  <si>
    <t>litter_batch_code</t>
  </si>
  <si>
    <t>BOAR-02</t>
  </si>
  <si>
    <t>2026-05-10</t>
  </si>
  <si>
    <t>PURPOSE: Flock register for broilers and layers.   |   CADENCE: On placement   |   ENTERED BY: Supervisor</t>
  </si>
  <si>
    <t>bird_type</t>
  </si>
  <si>
    <t>house</t>
  </si>
  <si>
    <t>placement_date</t>
  </si>
  <si>
    <t>chicks_placed</t>
  </si>
  <si>
    <t>chick_unit_cost</t>
  </si>
  <si>
    <t>hatchery</t>
  </si>
  <si>
    <t>target_off_date</t>
  </si>
  <si>
    <t>House 2</t>
  </si>
  <si>
    <t>2026-08-10</t>
  </si>
  <si>
    <t>Irvine's Zimbabwe</t>
  </si>
  <si>
    <t>2026-09-21</t>
  </si>
  <si>
    <t>PURPOSE: Mortality, feed, water, eggs, house climate. One sheet serves broilers and layers — egg columns simply stay 0 for broilers.   |   CADENCE: Daily, one row per house   |   ENTERED BY: Poultry attendant</t>
  </si>
  <si>
    <t>closing_birds</t>
  </si>
  <si>
    <t>house_temp_c</t>
  </si>
  <si>
    <t>litter_condition</t>
  </si>
  <si>
    <t>lighting_hours</t>
  </si>
  <si>
    <t>eggs_collected</t>
  </si>
  <si>
    <t>eggs_cracked</t>
  </si>
  <si>
    <t>eggs_dirty</t>
  </si>
  <si>
    <t>PURPOSE: Weight-for-age vs breed standard, uniformity, FCR denominator.   |   CADENCE: Weekly (broilers) / monthly (layers)   |   ENTERED BY: Attendant</t>
  </si>
  <si>
    <t>avg_weight_g</t>
  </si>
  <si>
    <t>uniformity_pct</t>
  </si>
  <si>
    <t>PURPOSE: Land register; denominator of every per-hectare metric.   |   CADENCE: Once, updated rarely   |   ENTERED BY: Owner</t>
  </si>
  <si>
    <t>plot_code</t>
  </si>
  <si>
    <t>plot_name</t>
  </si>
  <si>
    <t>hectares</t>
  </si>
  <si>
    <t>soil_type</t>
  </si>
  <si>
    <t>irrigation_type</t>
  </si>
  <si>
    <t>gps</t>
  </si>
  <si>
    <t>P3</t>
  </si>
  <si>
    <t>River field</t>
  </si>
  <si>
    <t>PURPOSE: Season x plot x crop anchor record — the crop equivalent of a batch.   |   CADENCE: Per planting event   |   ENTERED BY: Supervisor</t>
  </si>
  <si>
    <t>planting_code</t>
  </si>
  <si>
    <t>crop</t>
  </si>
  <si>
    <t>variety</t>
  </si>
  <si>
    <t>season</t>
  </si>
  <si>
    <t>planting_date</t>
  </si>
  <si>
    <t>area_ha</t>
  </si>
  <si>
    <t>seed_kg</t>
  </si>
  <si>
    <t>seed_cost</t>
  </si>
  <si>
    <t>expected_harvest_date</t>
  </si>
  <si>
    <t>expected_yield_tons_ha</t>
  </si>
  <si>
    <t>MZ-P3-2025A</t>
  </si>
  <si>
    <t>SC637</t>
  </si>
  <si>
    <t>2025-11-15</t>
  </si>
  <si>
    <t>2026-04-15</t>
  </si>
  <si>
    <t>PURPOSE: Every input and pass over the field — the crop cost stack.   |   CADENCE: Per operation (a few rows per week per planting)   |   ENTERED BY: Field supervisor</t>
  </si>
  <si>
    <t>op_type</t>
  </si>
  <si>
    <t>input_cost</t>
  </si>
  <si>
    <t>labour_hours</t>
  </si>
  <si>
    <t>machine_hours</t>
  </si>
  <si>
    <t>irrigation_mm</t>
  </si>
  <si>
    <t>2025-12-01</t>
  </si>
  <si>
    <t>AN</t>
  </si>
  <si>
    <t>150 kg/ha</t>
  </si>
  <si>
    <t>S03</t>
  </si>
  <si>
    <t>PURPOSE: Pest/disease pressure, growth stage, soil moisture — turns the bot into an agronomy advisor, not just an accountant.   |   CADENCE: Weekly walk of each planting   |   ENTERED BY: Field supervisor</t>
  </si>
  <si>
    <t>growth_stage</t>
  </si>
  <si>
    <t>issue_type</t>
  </si>
  <si>
    <t>issue_name</t>
  </si>
  <si>
    <t>severity_1_5</t>
  </si>
  <si>
    <t>incidence_pct</t>
  </si>
  <si>
    <t>soil_moisture</t>
  </si>
  <si>
    <t>action_taken</t>
  </si>
  <si>
    <t>scouted_by</t>
  </si>
  <si>
    <t>2026-01-12</t>
  </si>
  <si>
    <t>Fall armyworm</t>
  </si>
  <si>
    <t>Spot-sprayed affected rows</t>
  </si>
  <si>
    <t>PURPOSE: Yield, moisture, grade, post-harvest loss.   |   CADENCE: Per harvest day   |   ENTERED BY: Supervisor at the scale / bag count</t>
  </si>
  <si>
    <t>bags</t>
  </si>
  <si>
    <t>quantity_kg</t>
  </si>
  <si>
    <t>moisture_pct</t>
  </si>
  <si>
    <t>field_loss_kg</t>
  </si>
  <si>
    <t>storage_location</t>
  </si>
  <si>
    <t>2026-04-20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</si>
</sst>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2F5597"/>
      <name val="Cambria"/>
      <family val="1"/>
    </font>
    <font>
      <sz val="11"/>
      <color rgb="FF000000"/>
      <name val="Cambria"/>
      <family val="1"/>
    </font>
    <font>
      <b/>
      <sz val="13"/>
      <color rgb="FF2F5597"/>
      <name val="Cambria"/>
      <family val="1"/>
    </font>
    <font>
      <b/>
      <sz val="11"/>
      <color rgb="FFFFFFFF"/>
      <name val="Cambria"/>
      <family val="1"/>
    </font>
    <font>
      <i/>
      <sz val="9"/>
      <color rgb="FF595959"/>
      <name val="Cambria"/>
      <family val="1"/>
    </font>
    <font>
      <i/>
      <sz val="11"/>
      <color rgb="FF7F6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2F5597"/>
      </patternFill>
    </fill>
    <fill>
      <patternFill patternType="solid">
        <fgColor rgb="FF2F5597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C0504D"/>
        <bgColor rgb="FF993366"/>
      </patternFill>
    </fill>
    <fill>
      <patternFill patternType="solid">
        <fgColor rgb="FFC09000"/>
        <bgColor rgb="FFFF6600"/>
      </patternFill>
    </fill>
    <fill>
      <patternFill patternType="solid">
        <fgColor rgb="FF548235"/>
        <bgColor rgb="FF59595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7" fillId="4" borderId="1" xfId="0" applyFont="1" applyFill="1" applyBorder="1"/>
    <xf numFmtId="164" fontId="7" fillId="4" borderId="1" xfId="0" applyNumberFormat="1" applyFont="1" applyFill="1" applyBorder="1"/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090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showGridLines="0" topLeftCell="A3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22" x14ac:dyDescent="0.2">
      <c r="A1" s="2" t="s">
        <v>0</v>
      </c>
    </row>
    <row r="2" spans="1:1" x14ac:dyDescent="0.2">
      <c r="A2" s="3"/>
    </row>
    <row r="3" spans="1:1" ht="30" x14ac:dyDescent="0.2">
      <c r="A3" s="3" t="s">
        <v>1</v>
      </c>
    </row>
    <row r="4" spans="1:1" x14ac:dyDescent="0.2">
      <c r="A4" s="3"/>
    </row>
    <row r="5" spans="1:1" ht="18" x14ac:dyDescent="0.2">
      <c r="A5" s="4" t="s">
        <v>2</v>
      </c>
    </row>
    <row r="6" spans="1:1" ht="30" x14ac:dyDescent="0.2">
      <c r="A6" s="3" t="s">
        <v>3</v>
      </c>
    </row>
    <row r="7" spans="1:1" x14ac:dyDescent="0.2">
      <c r="A7" s="3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ht="30" x14ac:dyDescent="0.2">
      <c r="A10" s="3" t="s">
        <v>7</v>
      </c>
    </row>
    <row r="11" spans="1:1" x14ac:dyDescent="0.2">
      <c r="A11" s="3"/>
    </row>
    <row r="12" spans="1:1" ht="18" x14ac:dyDescent="0.2">
      <c r="A12" s="4" t="s">
        <v>8</v>
      </c>
    </row>
    <row r="13" spans="1:1" ht="30" x14ac:dyDescent="0.2">
      <c r="A13" s="3" t="s">
        <v>9</v>
      </c>
    </row>
    <row r="14" spans="1:1" ht="30" x14ac:dyDescent="0.2">
      <c r="A14" s="3" t="s">
        <v>10</v>
      </c>
    </row>
    <row r="15" spans="1:1" ht="30" x14ac:dyDescent="0.2">
      <c r="A15" s="3" t="s">
        <v>11</v>
      </c>
    </row>
    <row r="16" spans="1:1" x14ac:dyDescent="0.2">
      <c r="A16" s="3"/>
    </row>
    <row r="17" spans="1:1" ht="18" x14ac:dyDescent="0.2">
      <c r="A17" s="4" t="s">
        <v>12</v>
      </c>
    </row>
    <row r="18" spans="1:1" x14ac:dyDescent="0.2">
      <c r="A18" s="3" t="s">
        <v>13</v>
      </c>
    </row>
    <row r="19" spans="1:1" x14ac:dyDescent="0.2">
      <c r="A19" s="3" t="s">
        <v>14</v>
      </c>
    </row>
    <row r="20" spans="1:1" x14ac:dyDescent="0.2">
      <c r="A20" s="3" t="s">
        <v>15</v>
      </c>
    </row>
    <row r="21" spans="1:1" x14ac:dyDescent="0.2">
      <c r="A21" s="3"/>
    </row>
    <row r="22" spans="1:1" ht="18" x14ac:dyDescent="0.2">
      <c r="A22" s="4" t="s">
        <v>16</v>
      </c>
    </row>
    <row r="23" spans="1:1" ht="45" x14ac:dyDescent="0.2">
      <c r="A23" s="3" t="s">
        <v>17</v>
      </c>
    </row>
    <row r="24" spans="1:1" x14ac:dyDescent="0.2">
      <c r="A24" s="3"/>
    </row>
    <row r="25" spans="1:1" ht="18" x14ac:dyDescent="0.2">
      <c r="A25" s="4" t="s">
        <v>18</v>
      </c>
    </row>
    <row r="26" spans="1:1" ht="60" x14ac:dyDescent="0.2">
      <c r="A26" s="3" t="s">
        <v>19</v>
      </c>
    </row>
    <row r="27" spans="1:1" x14ac:dyDescent="0.2">
      <c r="A27" s="3"/>
    </row>
    <row r="28" spans="1:1" ht="18" x14ac:dyDescent="0.2">
      <c r="A28" s="4" t="s">
        <v>20</v>
      </c>
    </row>
    <row r="29" spans="1:1" ht="30" x14ac:dyDescent="0.2">
      <c r="A29" s="3" t="s">
        <v>21</v>
      </c>
    </row>
    <row r="30" spans="1:1" ht="30" x14ac:dyDescent="0.2">
      <c r="A30" s="3" t="s">
        <v>22</v>
      </c>
    </row>
    <row r="31" spans="1:1" ht="30" x14ac:dyDescent="0.2">
      <c r="A31" s="3" t="s">
        <v>23</v>
      </c>
    </row>
    <row r="32" spans="1:1" ht="30" x14ac:dyDescent="0.2">
      <c r="A32" s="3" t="s">
        <v>24</v>
      </c>
    </row>
    <row r="33" spans="1:1" x14ac:dyDescent="0.2">
      <c r="A33" s="3"/>
    </row>
    <row r="34" spans="1:1" ht="18" x14ac:dyDescent="0.2">
      <c r="A34" s="4" t="s">
        <v>25</v>
      </c>
    </row>
    <row r="35" spans="1:1" ht="30" x14ac:dyDescent="0.2">
      <c r="A35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AN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40" width="20" customWidth="1"/>
  </cols>
  <sheetData>
    <row r="1" spans="1:40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</row>
    <row r="2" spans="1:40" x14ac:dyDescent="0.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73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B2" t="s">
        <v>87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73</v>
      </c>
      <c r="AJ2" t="s">
        <v>99</v>
      </c>
      <c r="AK2" t="s">
        <v>100</v>
      </c>
      <c r="AL2" t="s">
        <v>87</v>
      </c>
      <c r="AM2" t="s">
        <v>101</v>
      </c>
      <c r="AN2" t="s">
        <v>102</v>
      </c>
    </row>
    <row r="3" spans="1:40" x14ac:dyDescent="0.2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97</v>
      </c>
      <c r="AB3" t="s">
        <v>124</v>
      </c>
      <c r="AC3" t="s">
        <v>129</v>
      </c>
      <c r="AD3" t="s">
        <v>130</v>
      </c>
      <c r="AE3" t="s">
        <v>131</v>
      </c>
      <c r="AF3" t="s">
        <v>132</v>
      </c>
      <c r="AG3" t="s">
        <v>133</v>
      </c>
      <c r="AH3" t="s">
        <v>134</v>
      </c>
      <c r="AI3" t="s">
        <v>135</v>
      </c>
      <c r="AJ3" t="s">
        <v>136</v>
      </c>
      <c r="AK3" t="s">
        <v>137</v>
      </c>
      <c r="AL3" t="s">
        <v>138</v>
      </c>
      <c r="AM3" t="s">
        <v>139</v>
      </c>
      <c r="AN3" t="s">
        <v>140</v>
      </c>
    </row>
    <row r="4" spans="1:40" x14ac:dyDescent="0.2">
      <c r="A4" t="s">
        <v>141</v>
      </c>
      <c r="D4" t="s">
        <v>142</v>
      </c>
      <c r="E4" t="s">
        <v>143</v>
      </c>
      <c r="F4" t="s">
        <v>144</v>
      </c>
      <c r="G4" t="s">
        <v>135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R4" t="s">
        <v>155</v>
      </c>
      <c r="S4" t="s">
        <v>156</v>
      </c>
      <c r="U4" t="s">
        <v>157</v>
      </c>
      <c r="V4" t="s">
        <v>158</v>
      </c>
      <c r="W4" t="s">
        <v>159</v>
      </c>
      <c r="Z4" t="s">
        <v>160</v>
      </c>
      <c r="AA4" t="s">
        <v>161</v>
      </c>
      <c r="AB4" t="s">
        <v>162</v>
      </c>
      <c r="AC4" t="s">
        <v>163</v>
      </c>
      <c r="AD4" t="s">
        <v>164</v>
      </c>
      <c r="AE4" t="s">
        <v>165</v>
      </c>
      <c r="AF4" t="s">
        <v>166</v>
      </c>
      <c r="AG4" t="s">
        <v>167</v>
      </c>
      <c r="AH4" t="s">
        <v>168</v>
      </c>
      <c r="AI4" t="s">
        <v>169</v>
      </c>
      <c r="AJ4" t="s">
        <v>170</v>
      </c>
      <c r="AK4" t="s">
        <v>171</v>
      </c>
      <c r="AL4" t="s">
        <v>158</v>
      </c>
      <c r="AM4" t="s">
        <v>172</v>
      </c>
      <c r="AN4" t="s">
        <v>173</v>
      </c>
    </row>
    <row r="5" spans="1:40" x14ac:dyDescent="0.2">
      <c r="A5" t="s">
        <v>174</v>
      </c>
      <c r="D5" t="s">
        <v>175</v>
      </c>
      <c r="F5" t="s">
        <v>176</v>
      </c>
      <c r="G5" t="s">
        <v>112</v>
      </c>
      <c r="H5" t="s">
        <v>177</v>
      </c>
      <c r="I5" t="s">
        <v>178</v>
      </c>
      <c r="J5" t="s">
        <v>109</v>
      </c>
      <c r="K5" t="s">
        <v>179</v>
      </c>
      <c r="M5" t="s">
        <v>118</v>
      </c>
      <c r="N5" t="s">
        <v>180</v>
      </c>
      <c r="O5" t="s">
        <v>181</v>
      </c>
      <c r="Q5" t="s">
        <v>182</v>
      </c>
      <c r="R5" t="s">
        <v>183</v>
      </c>
      <c r="V5" t="s">
        <v>184</v>
      </c>
      <c r="W5" t="s">
        <v>185</v>
      </c>
      <c r="Z5" t="s">
        <v>186</v>
      </c>
      <c r="AA5" t="s">
        <v>123</v>
      </c>
      <c r="AB5" t="s">
        <v>158</v>
      </c>
      <c r="AC5" t="s">
        <v>187</v>
      </c>
      <c r="AD5" t="s">
        <v>188</v>
      </c>
      <c r="AE5" t="s">
        <v>189</v>
      </c>
      <c r="AF5" t="s">
        <v>190</v>
      </c>
      <c r="AH5" t="s">
        <v>191</v>
      </c>
      <c r="AI5" t="s">
        <v>109</v>
      </c>
      <c r="AJ5" t="s">
        <v>192</v>
      </c>
      <c r="AK5" t="s">
        <v>193</v>
      </c>
      <c r="AM5" t="s">
        <v>194</v>
      </c>
      <c r="AN5" t="s">
        <v>195</v>
      </c>
    </row>
    <row r="6" spans="1:40" x14ac:dyDescent="0.2">
      <c r="D6" t="s">
        <v>196</v>
      </c>
      <c r="F6" t="s">
        <v>197</v>
      </c>
      <c r="G6" t="s">
        <v>198</v>
      </c>
      <c r="I6" t="s">
        <v>199</v>
      </c>
      <c r="J6" t="s">
        <v>200</v>
      </c>
      <c r="K6" t="s">
        <v>201</v>
      </c>
      <c r="M6" t="s">
        <v>98</v>
      </c>
      <c r="N6" t="s">
        <v>202</v>
      </c>
      <c r="O6" t="s">
        <v>203</v>
      </c>
      <c r="Q6" t="s">
        <v>204</v>
      </c>
      <c r="W6" t="s">
        <v>155</v>
      </c>
      <c r="AA6" t="s">
        <v>157</v>
      </c>
      <c r="AE6" t="s">
        <v>205</v>
      </c>
      <c r="AH6" t="s">
        <v>206</v>
      </c>
      <c r="AJ6" t="s">
        <v>207</v>
      </c>
      <c r="AK6" t="s">
        <v>208</v>
      </c>
    </row>
    <row r="7" spans="1:40" x14ac:dyDescent="0.2">
      <c r="F7" t="s">
        <v>209</v>
      </c>
      <c r="G7" t="s">
        <v>210</v>
      </c>
      <c r="I7" t="s">
        <v>211</v>
      </c>
      <c r="M7" t="s">
        <v>212</v>
      </c>
      <c r="N7" t="s">
        <v>213</v>
      </c>
      <c r="O7" t="s">
        <v>214</v>
      </c>
      <c r="Q7" t="s">
        <v>215</v>
      </c>
      <c r="AE7" t="s">
        <v>216</v>
      </c>
      <c r="AH7" t="s">
        <v>217</v>
      </c>
      <c r="AJ7" t="s">
        <v>218</v>
      </c>
    </row>
    <row r="8" spans="1:40" x14ac:dyDescent="0.2">
      <c r="F8" t="s">
        <v>219</v>
      </c>
      <c r="G8" t="s">
        <v>220</v>
      </c>
      <c r="I8" t="s">
        <v>221</v>
      </c>
      <c r="M8" t="s">
        <v>222</v>
      </c>
      <c r="O8" t="s">
        <v>223</v>
      </c>
      <c r="Q8" t="s">
        <v>208</v>
      </c>
      <c r="AH8" t="s">
        <v>224</v>
      </c>
    </row>
    <row r="9" spans="1:40" x14ac:dyDescent="0.2">
      <c r="F9" t="s">
        <v>225</v>
      </c>
      <c r="I9" t="s">
        <v>226</v>
      </c>
      <c r="M9" t="s">
        <v>227</v>
      </c>
      <c r="O9" t="s">
        <v>228</v>
      </c>
      <c r="AH9" t="s">
        <v>212</v>
      </c>
    </row>
    <row r="10" spans="1:40" x14ac:dyDescent="0.2">
      <c r="F10" t="s">
        <v>229</v>
      </c>
      <c r="I10" t="s">
        <v>189</v>
      </c>
      <c r="M10" t="s">
        <v>230</v>
      </c>
      <c r="O10" t="s">
        <v>231</v>
      </c>
      <c r="AH10" t="s">
        <v>232</v>
      </c>
    </row>
    <row r="11" spans="1:40" x14ac:dyDescent="0.2">
      <c r="F11" t="s">
        <v>233</v>
      </c>
      <c r="M11" t="s">
        <v>234</v>
      </c>
      <c r="O11" t="s">
        <v>235</v>
      </c>
      <c r="AH11" t="s">
        <v>236</v>
      </c>
    </row>
    <row r="12" spans="1:40" x14ac:dyDescent="0.2">
      <c r="F12" t="s">
        <v>237</v>
      </c>
      <c r="O12" t="s">
        <v>238</v>
      </c>
    </row>
    <row r="13" spans="1:40" x14ac:dyDescent="0.2">
      <c r="F13" t="s">
        <v>239</v>
      </c>
    </row>
    <row r="14" spans="1:40" x14ac:dyDescent="0.2">
      <c r="F14" t="s">
        <v>240</v>
      </c>
    </row>
    <row r="15" spans="1:40" x14ac:dyDescent="0.2">
      <c r="F15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1:I3"/>
  <sheetViews>
    <sheetView zoomScaleNormal="100" workbookViewId="0">
      <pane ySplit="2" topLeftCell="A3" activePane="bottomLeft" state="frozen"/>
      <selection pane="bottomLeft" sqref="A1:I1"/>
    </sheetView>
  </sheetViews>
  <sheetFormatPr baseColWidth="10" defaultColWidth="8.6640625" defaultRowHeight="15" x14ac:dyDescent="0.2"/>
  <cols>
    <col min="1" max="2" width="14" customWidth="1"/>
    <col min="3" max="3" width="19" customWidth="1"/>
    <col min="4" max="4" width="14" customWidth="1"/>
    <col min="5" max="5" width="18" customWidth="1"/>
    <col min="6" max="7" width="25" customWidth="1"/>
    <col min="8" max="8" width="23" customWidth="1"/>
    <col min="9" max="9" width="24" customWidth="1"/>
  </cols>
  <sheetData>
    <row r="1" spans="1:9" x14ac:dyDescent="0.2">
      <c r="A1" s="1" t="s">
        <v>241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6" t="s">
        <v>242</v>
      </c>
      <c r="B2" s="6" t="s">
        <v>243</v>
      </c>
      <c r="C2" s="6" t="s">
        <v>244</v>
      </c>
      <c r="D2" s="6" t="s">
        <v>245</v>
      </c>
      <c r="E2" s="6" t="s">
        <v>246</v>
      </c>
      <c r="F2" s="6" t="s">
        <v>247</v>
      </c>
      <c r="G2" s="6" t="s">
        <v>248</v>
      </c>
      <c r="H2" s="6" t="s">
        <v>249</v>
      </c>
      <c r="I2" s="6" t="s">
        <v>250</v>
      </c>
    </row>
    <row r="3" spans="1:9" x14ac:dyDescent="0.2">
      <c r="A3" s="7" t="s">
        <v>251</v>
      </c>
      <c r="B3" s="7" t="s">
        <v>252</v>
      </c>
      <c r="C3" s="7" t="s">
        <v>253</v>
      </c>
      <c r="D3" s="7" t="s">
        <v>69</v>
      </c>
      <c r="E3" s="7">
        <v>45</v>
      </c>
      <c r="F3" s="7" t="s">
        <v>68</v>
      </c>
      <c r="G3" s="7" t="s">
        <v>68</v>
      </c>
      <c r="H3" s="7" t="s">
        <v>68</v>
      </c>
      <c r="I3" s="8" t="s">
        <v>254</v>
      </c>
    </row>
  </sheetData>
  <mergeCells count="1">
    <mergeCell ref="A1:I1"/>
  </mergeCells>
  <dataValidations count="2">
    <dataValidation type="list" allowBlank="1" showErrorMessage="1" errorTitle="Invalid entry" error="Please choose a value from the list." sqref="D3:D500" xr:uid="{00000000-0002-0000-0200-000000000000}">
      <formula1>LIST_CURRENCY</formula1>
      <formula2>0</formula2>
    </dataValidation>
    <dataValidation type="list" allowBlank="1" sqref="F3:H500" xr:uid="{00000000-0002-0000-0200-000001000000}">
      <formula1>LIST_YESNO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</sheetPr>
  <dimension ref="A1:G3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3" width="14" customWidth="1"/>
    <col min="4" max="4" width="18" customWidth="1"/>
    <col min="5" max="7" width="14" customWidth="1"/>
  </cols>
  <sheetData>
    <row r="1" spans="1:7" x14ac:dyDescent="0.2">
      <c r="A1" s="1" t="s">
        <v>255</v>
      </c>
      <c r="B1" s="1"/>
      <c r="C1" s="1"/>
      <c r="D1" s="1"/>
      <c r="E1" s="1"/>
      <c r="F1" s="1"/>
      <c r="G1" s="1"/>
    </row>
    <row r="2" spans="1:7" x14ac:dyDescent="0.2">
      <c r="A2" s="6" t="s">
        <v>256</v>
      </c>
      <c r="B2" s="6" t="s">
        <v>257</v>
      </c>
      <c r="C2" s="6" t="s">
        <v>258</v>
      </c>
      <c r="D2" s="6" t="s">
        <v>259</v>
      </c>
      <c r="E2" s="6" t="s">
        <v>260</v>
      </c>
      <c r="F2" s="6" t="s">
        <v>261</v>
      </c>
      <c r="G2" s="6" t="s">
        <v>262</v>
      </c>
    </row>
    <row r="3" spans="1:7" x14ac:dyDescent="0.2">
      <c r="A3" s="7" t="s">
        <v>263</v>
      </c>
      <c r="B3" s="7" t="s">
        <v>264</v>
      </c>
      <c r="C3" s="7" t="s">
        <v>70</v>
      </c>
      <c r="D3" s="7" t="s">
        <v>67</v>
      </c>
      <c r="E3" s="7" t="s">
        <v>71</v>
      </c>
      <c r="F3" s="7">
        <v>12</v>
      </c>
      <c r="G3" s="7" t="s">
        <v>68</v>
      </c>
    </row>
  </sheetData>
  <mergeCells count="1">
    <mergeCell ref="A1:G1"/>
  </mergeCells>
  <dataValidations count="4">
    <dataValidation type="list" allowBlank="1" showErrorMessage="1" errorTitle="Invalid entry" error="Please choose a value from the list." sqref="C3:C500" xr:uid="{00000000-0002-0000-0300-000000000000}">
      <formula1>LIST_ROLE</formula1>
      <formula2>0</formula2>
    </dataValidation>
    <dataValidation type="list" allowBlank="1" showErrorMessage="1" errorTitle="Invalid entry" error="Please choose a value from the list." sqref="D3:D500" xr:uid="{00000000-0002-0000-0300-000001000000}">
      <formula1>LIST_DOMAIN</formula1>
      <formula2>0</formula2>
    </dataValidation>
    <dataValidation type="list" allowBlank="1" showErrorMessage="1" errorTitle="Invalid entry" error="Please choose a value from the list." sqref="E3:E500" xr:uid="{00000000-0002-0000-0300-000002000000}">
      <formula1>LIST_PAY_TYPE</formula1>
      <formula2>0</formula2>
    </dataValidation>
    <dataValidation type="list" allowBlank="1" sqref="G3:G500" xr:uid="{00000000-0002-0000-0300-000003000000}">
      <formula1>LIST_YESNO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A1:M3"/>
  <sheetViews>
    <sheetView zoomScaleNormal="100" workbookViewId="0">
      <pane ySplit="2" topLeftCell="A3" activePane="bottomLeft" state="frozen"/>
      <selection pane="bottomLeft" sqref="A1:M1"/>
    </sheetView>
  </sheetViews>
  <sheetFormatPr baseColWidth="10" defaultColWidth="8.6640625" defaultRowHeight="15" x14ac:dyDescent="0.2"/>
  <cols>
    <col min="1" max="9" width="14" customWidth="1"/>
    <col min="10" max="10" width="18" customWidth="1"/>
    <col min="11" max="11" width="14" customWidth="1"/>
    <col min="12" max="12" width="19" customWidth="1"/>
    <col min="13" max="13" width="15" customWidth="1"/>
  </cols>
  <sheetData>
    <row r="1" spans="1:13" x14ac:dyDescent="0.2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6" t="s">
        <v>266</v>
      </c>
      <c r="B2" s="6" t="s">
        <v>267</v>
      </c>
      <c r="C2" s="6" t="s">
        <v>268</v>
      </c>
      <c r="D2" s="6" t="s">
        <v>269</v>
      </c>
      <c r="E2" s="6" t="s">
        <v>270</v>
      </c>
      <c r="F2" s="6" t="s">
        <v>271</v>
      </c>
      <c r="G2" s="6" t="s">
        <v>272</v>
      </c>
      <c r="H2" s="6" t="s">
        <v>273</v>
      </c>
      <c r="I2" s="6" t="s">
        <v>274</v>
      </c>
      <c r="J2" s="6" t="s">
        <v>275</v>
      </c>
      <c r="K2" s="6" t="s">
        <v>276</v>
      </c>
      <c r="L2" s="6" t="s">
        <v>277</v>
      </c>
      <c r="M2" s="6" t="s">
        <v>278</v>
      </c>
    </row>
    <row r="3" spans="1:13" x14ac:dyDescent="0.2">
      <c r="A3" s="8" t="s">
        <v>279</v>
      </c>
      <c r="B3" s="7" t="s">
        <v>103</v>
      </c>
      <c r="C3" s="7" t="s">
        <v>72</v>
      </c>
      <c r="D3" s="7" t="s">
        <v>280</v>
      </c>
      <c r="E3" s="7">
        <v>10</v>
      </c>
      <c r="F3" s="7" t="s">
        <v>109</v>
      </c>
      <c r="G3" s="7">
        <v>34</v>
      </c>
      <c r="H3" s="7">
        <f>E3*G3</f>
        <v>340</v>
      </c>
      <c r="I3" s="7" t="s">
        <v>281</v>
      </c>
      <c r="J3" s="7" t="s">
        <v>110</v>
      </c>
      <c r="K3" s="7" t="s">
        <v>282</v>
      </c>
      <c r="L3" s="7"/>
      <c r="M3" s="7" t="s">
        <v>263</v>
      </c>
    </row>
  </sheetData>
  <mergeCells count="1">
    <mergeCell ref="A1:M1"/>
  </mergeCells>
  <dataValidations count="4">
    <dataValidation type="list" allowBlank="1" showErrorMessage="1" errorTitle="Invalid entry" error="Please choose a value from the list." sqref="B3:B500" xr:uid="{00000000-0002-0000-0400-000000000000}">
      <formula1>LIST_DOMAIN</formula1>
      <formula2>0</formula2>
    </dataValidation>
    <dataValidation type="list" allowBlank="1" showErrorMessage="1" errorTitle="Invalid entry" error="Please choose a value from the list." sqref="C3:C500" xr:uid="{00000000-0002-0000-0400-000001000000}">
      <formula1>LIST_EXP_CATEGORY</formula1>
      <formula2>0</formula2>
    </dataValidation>
    <dataValidation type="list" allowBlank="1" showErrorMessage="1" errorTitle="Invalid entry" error="Please choose a value from the list." sqref="F3:F500" xr:uid="{00000000-0002-0000-0400-000002000000}">
      <formula1>LIST_UNIT_GENERAL</formula1>
      <formula2>0</formula2>
    </dataValidation>
    <dataValidation type="list" allowBlank="1" showErrorMessage="1" errorTitle="Invalid entry" error="Please choose a value from the list." sqref="J3:J500" xr:uid="{00000000-0002-0000-0400-000003000000}">
      <formula1>LIST_PAYMENT_METHOD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N3"/>
  <sheetViews>
    <sheetView tabSelected="1" zoomScaleNormal="100" workbookViewId="0">
      <pane ySplit="2" topLeftCell="A3" activePane="bottomLeft" state="frozen"/>
      <selection pane="bottomLeft" sqref="A1:N1"/>
    </sheetView>
  </sheetViews>
  <sheetFormatPr baseColWidth="10" defaultColWidth="8.6640625" defaultRowHeight="15" x14ac:dyDescent="0.2"/>
  <cols>
    <col min="1" max="6" width="14" customWidth="1"/>
    <col min="7" max="7" width="16" customWidth="1"/>
    <col min="8" max="8" width="14" customWidth="1"/>
    <col min="9" max="9" width="17" customWidth="1"/>
    <col min="10" max="12" width="14" customWidth="1"/>
    <col min="13" max="13" width="18" customWidth="1"/>
    <col min="14" max="14" width="14" customWidth="1"/>
  </cols>
  <sheetData>
    <row r="1" spans="1:14" x14ac:dyDescent="0.2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6" t="s">
        <v>266</v>
      </c>
      <c r="B2" s="6" t="s">
        <v>267</v>
      </c>
      <c r="C2" s="6" t="s">
        <v>284</v>
      </c>
      <c r="D2" s="6" t="s">
        <v>270</v>
      </c>
      <c r="E2" s="6" t="s">
        <v>271</v>
      </c>
      <c r="F2" s="6" t="s">
        <v>285</v>
      </c>
      <c r="G2" s="6" t="s">
        <v>286</v>
      </c>
      <c r="H2" s="6" t="s">
        <v>287</v>
      </c>
      <c r="I2" s="6" t="s">
        <v>288</v>
      </c>
      <c r="J2" s="6" t="s">
        <v>289</v>
      </c>
      <c r="K2" s="6" t="s">
        <v>290</v>
      </c>
      <c r="L2" s="6" t="s">
        <v>291</v>
      </c>
      <c r="M2" s="6" t="s">
        <v>292</v>
      </c>
      <c r="N2" s="6" t="s">
        <v>276</v>
      </c>
    </row>
    <row r="3" spans="1:14" x14ac:dyDescent="0.2">
      <c r="A3" s="8" t="s">
        <v>293</v>
      </c>
      <c r="B3" s="7" t="s">
        <v>103</v>
      </c>
      <c r="C3" s="7" t="s">
        <v>199</v>
      </c>
      <c r="D3" s="7">
        <v>48</v>
      </c>
      <c r="E3" s="7" t="s">
        <v>112</v>
      </c>
      <c r="F3" s="7">
        <v>6.2</v>
      </c>
      <c r="G3" s="7">
        <f>D3*F3</f>
        <v>297.60000000000002</v>
      </c>
      <c r="H3" s="7">
        <v>48</v>
      </c>
      <c r="I3" s="7">
        <v>2.1</v>
      </c>
      <c r="J3" s="7"/>
      <c r="K3" s="7" t="s">
        <v>294</v>
      </c>
      <c r="L3" s="7" t="s">
        <v>179</v>
      </c>
      <c r="M3" s="7" t="s">
        <v>77</v>
      </c>
      <c r="N3" s="7" t="s">
        <v>282</v>
      </c>
    </row>
  </sheetData>
  <mergeCells count="1">
    <mergeCell ref="A1:N1"/>
  </mergeCells>
  <dataValidations count="5">
    <dataValidation type="list" allowBlank="1" showErrorMessage="1" errorTitle="Invalid entry" error="Please choose a value from the list." sqref="B3:B500" xr:uid="{00000000-0002-0000-0500-000000000000}">
      <formula1>LIST_DOMAIN</formula1>
      <formula2>0</formula2>
    </dataValidation>
    <dataValidation type="list" allowBlank="1" showErrorMessage="1" errorTitle="Invalid entry" error="Please choose a value from the list." sqref="C3:C500" xr:uid="{00000000-0002-0000-0500-000001000000}">
      <formula1>LIST_PRODUCT</formula1>
      <formula2>0</formula2>
    </dataValidation>
    <dataValidation type="list" allowBlank="1" showErrorMessage="1" errorTitle="Invalid entry" error="Please choose a value from the list." sqref="E3:E500" xr:uid="{00000000-0002-0000-0500-000002000000}">
      <formula1>LIST_UNIT_SALES</formula1>
      <formula2>0</formula2>
    </dataValidation>
    <dataValidation type="list" allowBlank="1" showErrorMessage="1" errorTitle="Invalid entry" error="Please choose a value from the list." sqref="L3:L500" xr:uid="{00000000-0002-0000-0500-000003000000}">
      <formula1>LIST_CHANNEL</formula1>
      <formula2>0</formula2>
    </dataValidation>
    <dataValidation type="list" allowBlank="1" showErrorMessage="1" errorTitle="Invalid entry" error="Please choose a value from the list." sqref="M3:M500" xr:uid="{00000000-0002-0000-0500-000004000000}">
      <formula1>LIST_PAYMENT_STATUS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H3"/>
  <sheetViews>
    <sheetView zoomScaleNormal="100" workbookViewId="0">
      <pane ySplit="2" topLeftCell="A3" activePane="bottomLeft" state="frozen"/>
      <selection pane="bottomLeft" sqref="A1:H1"/>
    </sheetView>
  </sheetViews>
  <sheetFormatPr baseColWidth="10" defaultColWidth="8.6640625" defaultRowHeight="15" x14ac:dyDescent="0.2"/>
  <cols>
    <col min="1" max="5" width="14" customWidth="1"/>
    <col min="6" max="6" width="18" customWidth="1"/>
    <col min="7" max="7" width="15" customWidth="1"/>
    <col min="8" max="8" width="14" customWidth="1"/>
  </cols>
  <sheetData>
    <row r="1" spans="1:8" x14ac:dyDescent="0.2">
      <c r="A1" s="1" t="s">
        <v>295</v>
      </c>
      <c r="B1" s="1"/>
      <c r="C1" s="1"/>
      <c r="D1" s="1"/>
      <c r="E1" s="1"/>
      <c r="F1" s="1"/>
      <c r="G1" s="1"/>
      <c r="H1" s="1"/>
    </row>
    <row r="2" spans="1:8" x14ac:dyDescent="0.2">
      <c r="A2" s="6" t="s">
        <v>266</v>
      </c>
      <c r="B2" s="6" t="s">
        <v>256</v>
      </c>
      <c r="C2" s="6" t="s">
        <v>267</v>
      </c>
      <c r="D2" s="6" t="s">
        <v>296</v>
      </c>
      <c r="E2" s="6" t="s">
        <v>297</v>
      </c>
      <c r="F2" s="6" t="s">
        <v>298</v>
      </c>
      <c r="G2" s="6" t="s">
        <v>299</v>
      </c>
      <c r="H2" s="6" t="s">
        <v>276</v>
      </c>
    </row>
    <row r="3" spans="1:8" x14ac:dyDescent="0.2">
      <c r="A3" s="8" t="s">
        <v>279</v>
      </c>
      <c r="B3" s="7" t="s">
        <v>263</v>
      </c>
      <c r="C3" s="7" t="s">
        <v>67</v>
      </c>
      <c r="D3" s="7" t="s">
        <v>78</v>
      </c>
      <c r="E3" s="7">
        <v>8</v>
      </c>
      <c r="F3" s="7">
        <v>0</v>
      </c>
      <c r="G3" s="7">
        <f>IFERROR(INDEX('01_STAFF'!$F:$F,MATCH(B3,'01_STAFF'!$A:$A,0))*E3,0)</f>
        <v>96</v>
      </c>
      <c r="H3" s="7"/>
    </row>
  </sheetData>
  <mergeCells count="1">
    <mergeCell ref="A1:H1"/>
  </mergeCells>
  <dataValidations count="2">
    <dataValidation type="list" allowBlank="1" showErrorMessage="1" errorTitle="Invalid entry" error="Please choose a value from the list." sqref="C3:C500" xr:uid="{00000000-0002-0000-0600-000000000000}">
      <formula1>LIST_DOMAIN</formula1>
      <formula2>0</formula2>
    </dataValidation>
    <dataValidation type="list" allowBlank="1" showErrorMessage="1" errorTitle="Invalid entry" error="Please choose a value from the list." sqref="D3:D500" xr:uid="{00000000-0002-0000-0600-000001000000}">
      <formula1>LIST_TASK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597"/>
  </sheetPr>
  <dimension ref="A1:F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5" customWidth="1"/>
    <col min="3" max="4" width="14" customWidth="1"/>
    <col min="5" max="5" width="16" customWidth="1"/>
    <col min="6" max="6" width="14" customWidth="1"/>
  </cols>
  <sheetData>
    <row r="1" spans="1:6" x14ac:dyDescent="0.2">
      <c r="A1" s="1" t="s">
        <v>300</v>
      </c>
      <c r="B1" s="1"/>
      <c r="C1" s="1"/>
      <c r="D1" s="1"/>
      <c r="E1" s="1"/>
      <c r="F1" s="1"/>
    </row>
    <row r="2" spans="1:6" x14ac:dyDescent="0.2">
      <c r="A2" s="6" t="s">
        <v>266</v>
      </c>
      <c r="B2" s="6" t="s">
        <v>301</v>
      </c>
      <c r="C2" s="6" t="s">
        <v>302</v>
      </c>
      <c r="D2" s="6" t="s">
        <v>303</v>
      </c>
      <c r="E2" s="6" t="s">
        <v>304</v>
      </c>
      <c r="F2" s="6" t="s">
        <v>305</v>
      </c>
    </row>
    <row r="3" spans="1:6" x14ac:dyDescent="0.2">
      <c r="A3" s="8" t="s">
        <v>279</v>
      </c>
      <c r="B3" s="7">
        <v>0</v>
      </c>
      <c r="C3" s="7">
        <v>14</v>
      </c>
      <c r="D3" s="7">
        <v>27</v>
      </c>
      <c r="E3" s="7">
        <v>48</v>
      </c>
      <c r="F3" s="7" t="s">
        <v>79</v>
      </c>
    </row>
  </sheetData>
  <mergeCells count="1">
    <mergeCell ref="A1:F1"/>
  </mergeCells>
  <dataValidations count="1">
    <dataValidation type="list" allowBlank="1" showErrorMessage="1" errorTitle="Invalid entry" error="Please choose a value from the list." sqref="F3:F500" xr:uid="{00000000-0002-0000-0700-000000000000}">
      <formula1>LIST_WEATHER_EVENT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597"/>
  </sheetPr>
  <dimension ref="A1:K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4" width="14" customWidth="1"/>
    <col min="5" max="5" width="15" customWidth="1"/>
    <col min="6" max="8" width="14" customWidth="1"/>
    <col min="9" max="9" width="20" customWidth="1"/>
    <col min="10" max="11" width="14" customWidth="1"/>
  </cols>
  <sheetData>
    <row r="1" spans="1:11" x14ac:dyDescent="0.2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6" t="s">
        <v>266</v>
      </c>
      <c r="B2" s="6" t="s">
        <v>267</v>
      </c>
      <c r="C2" s="6" t="s">
        <v>307</v>
      </c>
      <c r="D2" s="6" t="s">
        <v>308</v>
      </c>
      <c r="E2" s="6" t="s">
        <v>309</v>
      </c>
      <c r="F2" s="6" t="s">
        <v>310</v>
      </c>
      <c r="G2" s="6" t="s">
        <v>311</v>
      </c>
      <c r="H2" s="6" t="s">
        <v>312</v>
      </c>
      <c r="I2" s="6" t="s">
        <v>313</v>
      </c>
      <c r="J2" s="6" t="s">
        <v>274</v>
      </c>
      <c r="K2" s="6" t="s">
        <v>276</v>
      </c>
    </row>
    <row r="3" spans="1:11" x14ac:dyDescent="0.2">
      <c r="A3" s="8" t="s">
        <v>314</v>
      </c>
      <c r="B3" s="7" t="s">
        <v>67</v>
      </c>
      <c r="C3" s="7" t="s">
        <v>117</v>
      </c>
      <c r="D3" s="7">
        <v>1200</v>
      </c>
      <c r="E3" s="7">
        <v>500</v>
      </c>
      <c r="F3" s="7">
        <v>430</v>
      </c>
      <c r="G3" s="7">
        <v>5</v>
      </c>
      <c r="H3" s="7">
        <v>1265</v>
      </c>
      <c r="I3" s="7">
        <v>0.68</v>
      </c>
      <c r="J3" s="7" t="s">
        <v>281</v>
      </c>
      <c r="K3" s="7"/>
    </row>
  </sheetData>
  <mergeCells count="1">
    <mergeCell ref="A1:K1"/>
  </mergeCells>
  <dataValidations count="2">
    <dataValidation type="list" allowBlank="1" showErrorMessage="1" errorTitle="Invalid entry" error="Please choose a value from the list." sqref="B3:B500" xr:uid="{00000000-0002-0000-0800-000000000000}">
      <formula1>LIST_DOMAIN</formula1>
      <formula2>0</formula2>
    </dataValidation>
    <dataValidation type="list" allowBlank="1" showErrorMessage="1" errorTitle="Invalid entry" error="Please choose a value from the list." sqref="C3:C500" xr:uid="{00000000-0002-0000-0800-000001000000}">
      <formula1>LIST_FEED_TYPE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5597"/>
  </sheetPr>
  <dimension ref="A1:N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9" width="14" customWidth="1"/>
    <col min="10" max="10" width="19" customWidth="1"/>
    <col min="11" max="11" width="14" customWidth="1"/>
    <col min="12" max="12" width="20" customWidth="1"/>
    <col min="13" max="13" width="14" customWidth="1"/>
    <col min="14" max="14" width="19" customWidth="1"/>
  </cols>
  <sheetData>
    <row r="1" spans="1:14" x14ac:dyDescent="0.2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6" t="s">
        <v>266</v>
      </c>
      <c r="B2" s="6" t="s">
        <v>267</v>
      </c>
      <c r="C2" s="6" t="s">
        <v>276</v>
      </c>
      <c r="D2" s="6" t="s">
        <v>316</v>
      </c>
      <c r="E2" s="6" t="s">
        <v>317</v>
      </c>
      <c r="F2" s="6" t="s">
        <v>318</v>
      </c>
      <c r="G2" s="6" t="s">
        <v>319</v>
      </c>
      <c r="H2" s="6" t="s">
        <v>284</v>
      </c>
      <c r="I2" s="6" t="s">
        <v>198</v>
      </c>
      <c r="J2" s="6" t="s">
        <v>320</v>
      </c>
      <c r="K2" s="6" t="s">
        <v>321</v>
      </c>
      <c r="L2" s="6" t="s">
        <v>322</v>
      </c>
      <c r="M2" s="6" t="s">
        <v>323</v>
      </c>
      <c r="N2" s="6" t="s">
        <v>324</v>
      </c>
    </row>
    <row r="3" spans="1:14" x14ac:dyDescent="0.2">
      <c r="A3" s="8" t="s">
        <v>325</v>
      </c>
      <c r="B3" s="7" t="s">
        <v>103</v>
      </c>
      <c r="C3" s="7" t="s">
        <v>282</v>
      </c>
      <c r="D3" s="7"/>
      <c r="E3" s="7" t="s">
        <v>118</v>
      </c>
      <c r="F3" s="7" t="s">
        <v>208</v>
      </c>
      <c r="G3" s="7"/>
      <c r="H3" s="7" t="s">
        <v>326</v>
      </c>
      <c r="I3" s="7" t="s">
        <v>327</v>
      </c>
      <c r="J3" s="7">
        <v>500</v>
      </c>
      <c r="K3" s="7">
        <v>18</v>
      </c>
      <c r="L3" s="7"/>
      <c r="M3" s="7" t="s">
        <v>183</v>
      </c>
      <c r="N3" s="7" t="s">
        <v>328</v>
      </c>
    </row>
  </sheetData>
  <mergeCells count="1">
    <mergeCell ref="A1:N1"/>
  </mergeCells>
  <dataValidations count="4">
    <dataValidation type="list" allowBlank="1" showErrorMessage="1" errorTitle="Invalid entry" error="Please choose a value from the list." sqref="B3:B500" xr:uid="{00000000-0002-0000-0900-000000000000}">
      <formula1>LIST_DOMAIN</formula1>
      <formula2>0</formula2>
    </dataValidation>
    <dataValidation type="list" allowBlank="1" showErrorMessage="1" errorTitle="Invalid entry" error="Please choose a value from the list." sqref="E3:E500" xr:uid="{00000000-0002-0000-0900-000001000000}">
      <formula1>LIST_HEALTH_EVENT</formula1>
      <formula2>0</formula2>
    </dataValidation>
    <dataValidation type="list" allowBlank="1" showErrorMessage="1" errorTitle="Invalid entry" error="Please choose a value from the list." sqref="F3:F500" xr:uid="{00000000-0002-0000-0900-000002000000}">
      <formula1>LIST_SYMPTOM</formula1>
      <formula2>0</formula2>
    </dataValidation>
    <dataValidation type="list" allowBlank="1" showErrorMessage="1" errorTitle="Invalid entry" error="Please choose a value from the list." sqref="M3:M500" xr:uid="{00000000-0002-0000-0900-000003000000}">
      <formula1>LIST_OUTCOME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504D"/>
  </sheetPr>
  <dimension ref="A1:I3"/>
  <sheetViews>
    <sheetView zoomScaleNormal="100" workbookViewId="0">
      <pane ySplit="2" topLeftCell="A3" activePane="bottomLeft" state="frozen"/>
      <selection pane="bottomLeft" sqref="A1:I1"/>
    </sheetView>
  </sheetViews>
  <sheetFormatPr baseColWidth="10" defaultColWidth="8.6640625" defaultRowHeight="15" x14ac:dyDescent="0.2"/>
  <cols>
    <col min="1" max="4" width="14" customWidth="1"/>
    <col min="5" max="5" width="15" customWidth="1"/>
    <col min="6" max="6" width="16" customWidth="1"/>
    <col min="7" max="7" width="14" customWidth="1"/>
    <col min="8" max="8" width="22" customWidth="1"/>
    <col min="9" max="9" width="14" customWidth="1"/>
  </cols>
  <sheetData>
    <row r="1" spans="1:9" x14ac:dyDescent="0.2">
      <c r="A1" s="1" t="s">
        <v>329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9" t="s">
        <v>330</v>
      </c>
      <c r="B2" s="9" t="s">
        <v>331</v>
      </c>
      <c r="C2" s="9" t="s">
        <v>332</v>
      </c>
      <c r="D2" s="9" t="s">
        <v>333</v>
      </c>
      <c r="E2" s="9" t="s">
        <v>334</v>
      </c>
      <c r="F2" s="9" t="s">
        <v>335</v>
      </c>
      <c r="G2" s="9" t="s">
        <v>336</v>
      </c>
      <c r="H2" s="9" t="s">
        <v>337</v>
      </c>
      <c r="I2" s="9" t="s">
        <v>338</v>
      </c>
    </row>
    <row r="3" spans="1:9" x14ac:dyDescent="0.2">
      <c r="A3" s="7" t="s">
        <v>339</v>
      </c>
      <c r="B3" s="7" t="s">
        <v>340</v>
      </c>
      <c r="C3" s="7" t="s">
        <v>84</v>
      </c>
      <c r="D3" s="8" t="s">
        <v>341</v>
      </c>
      <c r="E3" s="7">
        <v>24</v>
      </c>
      <c r="F3" s="7">
        <v>8.5</v>
      </c>
      <c r="G3" s="7" t="s">
        <v>85</v>
      </c>
      <c r="H3" s="8" t="s">
        <v>342</v>
      </c>
      <c r="I3" s="7" t="s">
        <v>86</v>
      </c>
    </row>
  </sheetData>
  <mergeCells count="1">
    <mergeCell ref="A1:I1"/>
  </mergeCells>
  <dataValidations count="3">
    <dataValidation type="list" allowBlank="1" showErrorMessage="1" errorTitle="Invalid entry" error="Please choose a value from the list." sqref="C3:C500" xr:uid="{00000000-0002-0000-0A00-000000000000}">
      <formula1>LIST_BREED_PIG</formula1>
      <formula2>0</formula2>
    </dataValidation>
    <dataValidation type="list" allowBlank="1" showErrorMessage="1" errorTitle="Invalid entry" error="Please choose a value from the list." sqref="G3:G500" xr:uid="{00000000-0002-0000-0A00-000001000000}">
      <formula1>LIST_SOURCE</formula1>
      <formula2>0</formula2>
    </dataValidation>
    <dataValidation type="list" allowBlank="1" showErrorMessage="1" errorTitle="Invalid entry" error="Please choose a value from the list." sqref="I3:I500" xr:uid="{00000000-0002-0000-0A00-000002000000}">
      <formula1>LIST_STATUS_BATCH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504D"/>
  </sheetPr>
  <dimension ref="A1:M3"/>
  <sheetViews>
    <sheetView zoomScaleNormal="100" workbookViewId="0">
      <pane ySplit="2" topLeftCell="A3" activePane="bottomLeft" state="frozen"/>
      <selection pane="bottomLeft" sqref="A1:M1"/>
    </sheetView>
  </sheetViews>
  <sheetFormatPr baseColWidth="10" defaultColWidth="8.6640625" defaultRowHeight="15" x14ac:dyDescent="0.2"/>
  <cols>
    <col min="1" max="5" width="14" customWidth="1"/>
    <col min="6" max="6" width="16" customWidth="1"/>
    <col min="7" max="8" width="14" customWidth="1"/>
    <col min="9" max="9" width="17" customWidth="1"/>
    <col min="10" max="10" width="14" customWidth="1"/>
    <col min="11" max="11" width="17" customWidth="1"/>
    <col min="12" max="12" width="14" customWidth="1"/>
    <col min="13" max="13" width="15" customWidth="1"/>
  </cols>
  <sheetData>
    <row r="1" spans="1:13" x14ac:dyDescent="0.2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9" t="s">
        <v>266</v>
      </c>
      <c r="B2" s="9" t="s">
        <v>330</v>
      </c>
      <c r="C2" s="9" t="s">
        <v>331</v>
      </c>
      <c r="D2" s="9" t="s">
        <v>307</v>
      </c>
      <c r="E2" s="9" t="s">
        <v>344</v>
      </c>
      <c r="F2" s="9" t="s">
        <v>345</v>
      </c>
      <c r="G2" s="9" t="s">
        <v>346</v>
      </c>
      <c r="H2" s="9" t="s">
        <v>347</v>
      </c>
      <c r="I2" s="9" t="s">
        <v>348</v>
      </c>
      <c r="J2" s="9" t="s">
        <v>349</v>
      </c>
      <c r="K2" s="9" t="s">
        <v>350</v>
      </c>
      <c r="L2" s="9" t="s">
        <v>351</v>
      </c>
      <c r="M2" s="9" t="s">
        <v>278</v>
      </c>
    </row>
    <row r="3" spans="1:13" x14ac:dyDescent="0.2">
      <c r="A3" s="8" t="s">
        <v>279</v>
      </c>
      <c r="B3" s="7" t="s">
        <v>339</v>
      </c>
      <c r="C3" s="7" t="s">
        <v>340</v>
      </c>
      <c r="D3" s="7" t="s">
        <v>117</v>
      </c>
      <c r="E3" s="7">
        <v>42</v>
      </c>
      <c r="F3" s="7">
        <v>110</v>
      </c>
      <c r="G3" s="7">
        <v>0</v>
      </c>
      <c r="H3" s="7">
        <v>0</v>
      </c>
      <c r="I3" s="7">
        <f>IFERROR(INDEX(P1_PIG_BATCHES!$E:$E,MATCH(B3,P1_PIG_BATCHES!$A:$A,0))-G3-H3,0)</f>
        <v>24</v>
      </c>
      <c r="J3" s="7">
        <v>24</v>
      </c>
      <c r="K3" s="7" t="s">
        <v>87</v>
      </c>
      <c r="L3" s="7"/>
      <c r="M3" s="7" t="s">
        <v>263</v>
      </c>
    </row>
  </sheetData>
  <mergeCells count="1">
    <mergeCell ref="A1:M1"/>
  </mergeCells>
  <dataValidations count="2">
    <dataValidation type="list" allowBlank="1" showErrorMessage="1" errorTitle="Invalid entry" error="Please choose a value from the list." sqref="D3:D500" xr:uid="{00000000-0002-0000-0B00-000000000000}">
      <formula1>LIST_FEED_TYPE</formula1>
      <formula2>0</formula2>
    </dataValidation>
    <dataValidation type="list" allowBlank="1" showErrorMessage="1" errorTitle="Invalid entry" error="Please choose a value from the list." sqref="K3:K500" xr:uid="{00000000-0002-0000-0B00-000001000000}">
      <formula1>LIST_PEN_CONDITION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504D"/>
  </sheetPr>
  <dimension ref="A1:G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15" customWidth="1"/>
    <col min="4" max="6" width="17" customWidth="1"/>
    <col min="7" max="7" width="14" customWidth="1"/>
  </cols>
  <sheetData>
    <row r="1" spans="1:7" x14ac:dyDescent="0.2">
      <c r="A1" s="1" t="s">
        <v>352</v>
      </c>
      <c r="B1" s="1"/>
      <c r="C1" s="1"/>
      <c r="D1" s="1"/>
      <c r="E1" s="1"/>
      <c r="F1" s="1"/>
      <c r="G1" s="1"/>
    </row>
    <row r="2" spans="1:7" x14ac:dyDescent="0.2">
      <c r="A2" s="9" t="s">
        <v>266</v>
      </c>
      <c r="B2" s="9" t="s">
        <v>330</v>
      </c>
      <c r="C2" s="9" t="s">
        <v>353</v>
      </c>
      <c r="D2" s="9" t="s">
        <v>288</v>
      </c>
      <c r="E2" s="9" t="s">
        <v>354</v>
      </c>
      <c r="F2" s="9" t="s">
        <v>355</v>
      </c>
      <c r="G2" s="9" t="s">
        <v>356</v>
      </c>
    </row>
    <row r="3" spans="1:7" x14ac:dyDescent="0.2">
      <c r="A3" s="8" t="s">
        <v>279</v>
      </c>
      <c r="B3" s="7" t="s">
        <v>339</v>
      </c>
      <c r="C3" s="7">
        <v>10</v>
      </c>
      <c r="D3" s="7">
        <v>38.200000000000003</v>
      </c>
      <c r="E3" s="7">
        <v>31</v>
      </c>
      <c r="F3" s="7">
        <v>44</v>
      </c>
      <c r="G3" s="7">
        <f>IFERROR(A3-INDEX(P1_PIG_BATCHES!$D:$D,MATCH(B3,P1_PIG_BATCHES!$A:$A,0)),"")</f>
        <v>92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504D"/>
  </sheetPr>
  <dimension ref="A1:F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17" customWidth="1"/>
    <col min="4" max="4" width="14" customWidth="1"/>
    <col min="5" max="5" width="22" customWidth="1"/>
    <col min="6" max="6" width="14" customWidth="1"/>
  </cols>
  <sheetData>
    <row r="1" spans="1:6" x14ac:dyDescent="0.2">
      <c r="A1" s="1" t="s">
        <v>357</v>
      </c>
      <c r="B1" s="1"/>
      <c r="C1" s="1"/>
      <c r="D1" s="1"/>
      <c r="E1" s="1"/>
      <c r="F1" s="1"/>
    </row>
    <row r="2" spans="1:6" x14ac:dyDescent="0.2">
      <c r="A2" s="9" t="s">
        <v>358</v>
      </c>
      <c r="B2" s="9" t="s">
        <v>332</v>
      </c>
      <c r="C2" s="9" t="s">
        <v>359</v>
      </c>
      <c r="D2" s="9" t="s">
        <v>360</v>
      </c>
      <c r="E2" s="9" t="s">
        <v>361</v>
      </c>
      <c r="F2" s="9" t="s">
        <v>338</v>
      </c>
    </row>
    <row r="3" spans="1:6" x14ac:dyDescent="0.2">
      <c r="A3" s="7" t="s">
        <v>362</v>
      </c>
      <c r="B3" s="7" t="s">
        <v>121</v>
      </c>
      <c r="C3" s="8" t="s">
        <v>363</v>
      </c>
      <c r="D3" s="7">
        <v>3</v>
      </c>
      <c r="E3" s="7">
        <v>3</v>
      </c>
      <c r="F3" s="7" t="s">
        <v>185</v>
      </c>
    </row>
  </sheetData>
  <mergeCells count="1">
    <mergeCell ref="A1:F1"/>
  </mergeCells>
  <dataValidations count="2">
    <dataValidation type="list" allowBlank="1" showErrorMessage="1" errorTitle="Invalid entry" error="Please choose a value from the list." sqref="B3:B500" xr:uid="{00000000-0002-0000-0D00-000000000000}">
      <formula1>LIST_BREED_PIG</formula1>
      <formula2>0</formula2>
    </dataValidation>
    <dataValidation type="list" allowBlank="1" showErrorMessage="1" errorTitle="Invalid entry" error="Please choose a value from the list." sqref="F3:F500" xr:uid="{00000000-0002-0000-0D00-000001000000}">
      <formula1>LIST_SOW_STATUS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504D"/>
  </sheetPr>
  <dimension ref="A1:O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4" width="16" customWidth="1"/>
    <col min="5" max="5" width="23" customWidth="1"/>
    <col min="6" max="6" width="24" customWidth="1"/>
    <col min="7" max="7" width="15" customWidth="1"/>
    <col min="8" max="10" width="14" customWidth="1"/>
    <col min="11" max="11" width="23" customWidth="1"/>
    <col min="12" max="12" width="14" customWidth="1"/>
    <col min="13" max="13" width="16" customWidth="1"/>
    <col min="14" max="14" width="22" customWidth="1"/>
    <col min="15" max="15" width="21" customWidth="1"/>
  </cols>
  <sheetData>
    <row r="1" spans="1:15" x14ac:dyDescent="0.2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9" t="s">
        <v>358</v>
      </c>
      <c r="B2" s="9" t="s">
        <v>365</v>
      </c>
      <c r="C2" s="9" t="s">
        <v>366</v>
      </c>
      <c r="D2" s="9" t="s">
        <v>367</v>
      </c>
      <c r="E2" s="9" t="s">
        <v>368</v>
      </c>
      <c r="F2" s="9" t="s">
        <v>369</v>
      </c>
      <c r="G2" s="9" t="s">
        <v>370</v>
      </c>
      <c r="H2" s="9" t="s">
        <v>371</v>
      </c>
      <c r="I2" s="9" t="s">
        <v>372</v>
      </c>
      <c r="J2" s="9" t="s">
        <v>373</v>
      </c>
      <c r="K2" s="9" t="s">
        <v>374</v>
      </c>
      <c r="L2" s="9" t="s">
        <v>375</v>
      </c>
      <c r="M2" s="9" t="s">
        <v>376</v>
      </c>
      <c r="N2" s="9" t="s">
        <v>377</v>
      </c>
      <c r="O2" s="9" t="s">
        <v>378</v>
      </c>
    </row>
    <row r="3" spans="1:15" x14ac:dyDescent="0.2">
      <c r="A3" s="7" t="s">
        <v>362</v>
      </c>
      <c r="B3" s="7" t="s">
        <v>379</v>
      </c>
      <c r="C3" s="8" t="s">
        <v>380</v>
      </c>
      <c r="D3" s="7" t="s">
        <v>89</v>
      </c>
      <c r="E3" s="7" t="s">
        <v>68</v>
      </c>
      <c r="F3" s="8">
        <f>C3+114</f>
        <v>46266</v>
      </c>
      <c r="G3" s="7"/>
      <c r="H3" s="7"/>
      <c r="I3" s="7"/>
      <c r="J3" s="7"/>
      <c r="K3" s="7"/>
      <c r="L3" s="7"/>
      <c r="M3" s="7"/>
      <c r="N3" s="7"/>
      <c r="O3" s="7"/>
    </row>
  </sheetData>
  <mergeCells count="1">
    <mergeCell ref="A1:O1"/>
  </mergeCells>
  <dataValidations count="2">
    <dataValidation type="list" allowBlank="1" showErrorMessage="1" errorTitle="Invalid entry" error="Please choose a value from the list." sqref="D3:D500" xr:uid="{00000000-0002-0000-0E00-000000000000}">
      <formula1>LIST_SERVICE_TYPE</formula1>
      <formula2>0</formula2>
    </dataValidation>
    <dataValidation type="list" allowBlank="1" sqref="E3:E500" xr:uid="{00000000-0002-0000-0E00-000001000000}">
      <formula1>LIST_YESNO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9000"/>
  </sheetPr>
  <dimension ref="A1:J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4" width="14" customWidth="1"/>
    <col min="5" max="5" width="18" customWidth="1"/>
    <col min="6" max="6" width="17" customWidth="1"/>
    <col min="7" max="7" width="19" customWidth="1"/>
    <col min="8" max="8" width="14" customWidth="1"/>
    <col min="9" max="9" width="19" customWidth="1"/>
    <col min="10" max="10" width="14" customWidth="1"/>
  </cols>
  <sheetData>
    <row r="1" spans="1:10" x14ac:dyDescent="0.2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0" t="s">
        <v>330</v>
      </c>
      <c r="B2" s="10" t="s">
        <v>382</v>
      </c>
      <c r="C2" s="10" t="s">
        <v>332</v>
      </c>
      <c r="D2" s="10" t="s">
        <v>383</v>
      </c>
      <c r="E2" s="10" t="s">
        <v>384</v>
      </c>
      <c r="F2" s="10" t="s">
        <v>385</v>
      </c>
      <c r="G2" s="10" t="s">
        <v>386</v>
      </c>
      <c r="H2" s="10" t="s">
        <v>387</v>
      </c>
      <c r="I2" s="10" t="s">
        <v>388</v>
      </c>
      <c r="J2" s="10" t="s">
        <v>338</v>
      </c>
    </row>
    <row r="3" spans="1:10" x14ac:dyDescent="0.2">
      <c r="A3" s="7" t="s">
        <v>282</v>
      </c>
      <c r="B3" s="7" t="s">
        <v>90</v>
      </c>
      <c r="C3" s="7" t="s">
        <v>91</v>
      </c>
      <c r="D3" s="7" t="s">
        <v>389</v>
      </c>
      <c r="E3" s="8" t="s">
        <v>390</v>
      </c>
      <c r="F3" s="7">
        <v>500</v>
      </c>
      <c r="G3" s="7">
        <v>0.55000000000000004</v>
      </c>
      <c r="H3" s="7" t="s">
        <v>391</v>
      </c>
      <c r="I3" s="8" t="s">
        <v>392</v>
      </c>
      <c r="J3" s="7" t="s">
        <v>97</v>
      </c>
    </row>
  </sheetData>
  <mergeCells count="1">
    <mergeCell ref="A1:J1"/>
  </mergeCells>
  <dataValidations count="3">
    <dataValidation type="list" allowBlank="1" showErrorMessage="1" errorTitle="Invalid entry" error="Please choose a value from the list." sqref="B3:B500" xr:uid="{00000000-0002-0000-0F00-000000000000}">
      <formula1>LIST_BIRD_TYPE</formula1>
      <formula2>0</formula2>
    </dataValidation>
    <dataValidation type="list" allowBlank="1" showErrorMessage="1" errorTitle="Invalid entry" error="Please choose a value from the list." sqref="C3:C500" xr:uid="{00000000-0002-0000-0F00-000001000000}">
      <formula1>LIST_BREED_POULTRY</formula1>
      <formula2>0</formula2>
    </dataValidation>
    <dataValidation type="list" allowBlank="1" showErrorMessage="1" errorTitle="Invalid entry" error="Please choose a value from the list." sqref="J3:J500" xr:uid="{00000000-0002-0000-0F00-000002000000}">
      <formula1>LIST_POULTRY_STATUS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9000"/>
  </sheetPr>
  <dimension ref="A1:Q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5" width="14" customWidth="1"/>
    <col min="6" max="6" width="17" customWidth="1"/>
    <col min="7" max="8" width="14" customWidth="1"/>
    <col min="9" max="10" width="16" customWidth="1"/>
    <col min="11" max="11" width="20" customWidth="1"/>
    <col min="12" max="13" width="18" customWidth="1"/>
    <col min="14" max="14" width="16" customWidth="1"/>
    <col min="15" max="16" width="14" customWidth="1"/>
    <col min="17" max="17" width="15" customWidth="1"/>
  </cols>
  <sheetData>
    <row r="1" spans="1:17" x14ac:dyDescent="0.2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0" t="s">
        <v>266</v>
      </c>
      <c r="B2" s="10" t="s">
        <v>330</v>
      </c>
      <c r="C2" s="10" t="s">
        <v>356</v>
      </c>
      <c r="D2" s="10" t="s">
        <v>346</v>
      </c>
      <c r="E2" s="10" t="s">
        <v>347</v>
      </c>
      <c r="F2" s="10" t="s">
        <v>394</v>
      </c>
      <c r="G2" s="10" t="s">
        <v>307</v>
      </c>
      <c r="H2" s="10" t="s">
        <v>344</v>
      </c>
      <c r="I2" s="10" t="s">
        <v>345</v>
      </c>
      <c r="J2" s="10" t="s">
        <v>395</v>
      </c>
      <c r="K2" s="10" t="s">
        <v>396</v>
      </c>
      <c r="L2" s="10" t="s">
        <v>397</v>
      </c>
      <c r="M2" s="10" t="s">
        <v>398</v>
      </c>
      <c r="N2" s="10" t="s">
        <v>399</v>
      </c>
      <c r="O2" s="10" t="s">
        <v>400</v>
      </c>
      <c r="P2" s="10" t="s">
        <v>351</v>
      </c>
      <c r="Q2" s="10" t="s">
        <v>278</v>
      </c>
    </row>
    <row r="3" spans="1:17" x14ac:dyDescent="0.2">
      <c r="A3" s="8" t="s">
        <v>279</v>
      </c>
      <c r="B3" s="7" t="s">
        <v>282</v>
      </c>
      <c r="C3" s="7">
        <v>22</v>
      </c>
      <c r="D3" s="7">
        <v>2</v>
      </c>
      <c r="E3" s="7">
        <v>0</v>
      </c>
      <c r="F3" s="7">
        <v>498</v>
      </c>
      <c r="G3" s="7" t="s">
        <v>214</v>
      </c>
      <c r="H3" s="7">
        <v>58</v>
      </c>
      <c r="I3" s="7">
        <v>95</v>
      </c>
      <c r="J3" s="7">
        <v>29</v>
      </c>
      <c r="K3" s="7" t="s">
        <v>87</v>
      </c>
      <c r="L3" s="7"/>
      <c r="M3" s="7">
        <v>0</v>
      </c>
      <c r="N3" s="7">
        <v>0</v>
      </c>
      <c r="O3" s="7">
        <v>0</v>
      </c>
      <c r="P3" s="7"/>
      <c r="Q3" s="7" t="s">
        <v>328</v>
      </c>
    </row>
  </sheetData>
  <mergeCells count="1">
    <mergeCell ref="A1:Q1"/>
  </mergeCells>
  <dataValidations count="2">
    <dataValidation type="list" allowBlank="1" showErrorMessage="1" errorTitle="Invalid entry" error="Please choose a value from the list." sqref="G3:G500" xr:uid="{00000000-0002-0000-1000-000000000000}">
      <formula1>LIST_FEED_TYPE</formula1>
      <formula2>0</formula2>
    </dataValidation>
    <dataValidation type="list" allowBlank="1" showErrorMessage="1" errorTitle="Invalid entry" error="Please choose a value from the list." sqref="K3:K500" xr:uid="{00000000-0002-0000-1000-000001000000}">
      <formula1>LIST_LITTER_CONDITION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9000"/>
  </sheetPr>
  <dimension ref="A1:F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3" width="14" customWidth="1"/>
    <col min="4" max="4" width="15" customWidth="1"/>
    <col min="5" max="5" width="16" customWidth="1"/>
    <col min="6" max="6" width="18" customWidth="1"/>
  </cols>
  <sheetData>
    <row r="1" spans="1:6" x14ac:dyDescent="0.2">
      <c r="A1" s="1" t="s">
        <v>401</v>
      </c>
      <c r="B1" s="1"/>
      <c r="C1" s="1"/>
      <c r="D1" s="1"/>
      <c r="E1" s="1"/>
      <c r="F1" s="1"/>
    </row>
    <row r="2" spans="1:6" x14ac:dyDescent="0.2">
      <c r="A2" s="10" t="s">
        <v>266</v>
      </c>
      <c r="B2" s="10" t="s">
        <v>330</v>
      </c>
      <c r="C2" s="10" t="s">
        <v>356</v>
      </c>
      <c r="D2" s="10" t="s">
        <v>353</v>
      </c>
      <c r="E2" s="10" t="s">
        <v>402</v>
      </c>
      <c r="F2" s="10" t="s">
        <v>403</v>
      </c>
    </row>
    <row r="3" spans="1:6" x14ac:dyDescent="0.2">
      <c r="A3" s="8" t="s">
        <v>279</v>
      </c>
      <c r="B3" s="7" t="s">
        <v>282</v>
      </c>
      <c r="C3" s="7">
        <v>22</v>
      </c>
      <c r="D3" s="7">
        <v>25</v>
      </c>
      <c r="E3" s="7">
        <v>1180</v>
      </c>
      <c r="F3" s="7">
        <v>88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48235"/>
  </sheetPr>
  <dimension ref="A1:F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4" width="14" customWidth="1"/>
    <col min="5" max="5" width="19" customWidth="1"/>
    <col min="6" max="6" width="14" customWidth="1"/>
  </cols>
  <sheetData>
    <row r="1" spans="1:6" x14ac:dyDescent="0.2">
      <c r="A1" s="1" t="s">
        <v>404</v>
      </c>
      <c r="B1" s="1"/>
      <c r="C1" s="1"/>
      <c r="D1" s="1"/>
      <c r="E1" s="1"/>
      <c r="F1" s="1"/>
    </row>
    <row r="2" spans="1:6" x14ac:dyDescent="0.2">
      <c r="A2" s="11" t="s">
        <v>405</v>
      </c>
      <c r="B2" s="11" t="s">
        <v>406</v>
      </c>
      <c r="C2" s="11" t="s">
        <v>407</v>
      </c>
      <c r="D2" s="11" t="s">
        <v>408</v>
      </c>
      <c r="E2" s="11" t="s">
        <v>409</v>
      </c>
      <c r="F2" s="11" t="s">
        <v>410</v>
      </c>
    </row>
    <row r="3" spans="1:6" x14ac:dyDescent="0.2">
      <c r="A3" s="7" t="s">
        <v>411</v>
      </c>
      <c r="B3" s="7" t="s">
        <v>412</v>
      </c>
      <c r="C3" s="7">
        <v>6</v>
      </c>
      <c r="D3" s="7" t="s">
        <v>163</v>
      </c>
      <c r="E3" s="7" t="s">
        <v>164</v>
      </c>
      <c r="F3" s="7"/>
    </row>
  </sheetData>
  <mergeCells count="1">
    <mergeCell ref="A1:F1"/>
  </mergeCells>
  <dataValidations count="2">
    <dataValidation type="list" allowBlank="1" showErrorMessage="1" errorTitle="Invalid entry" error="Please choose a value from the list." sqref="D3:D500" xr:uid="{00000000-0002-0000-1200-000000000000}">
      <formula1>LIST_SOIL_TYPE</formula1>
      <formula2>0</formula2>
    </dataValidation>
    <dataValidation type="list" allowBlank="1" showErrorMessage="1" errorTitle="Invalid entry" error="Please choose a value from the list." sqref="E3:E500" xr:uid="{00000000-0002-0000-1200-000001000000}">
      <formula1>LIST_IRRIGATION_TYPE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48235"/>
  </sheetPr>
  <dimension ref="A1:L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7" customWidth="1"/>
    <col min="2" max="5" width="14" customWidth="1"/>
    <col min="6" max="6" width="17" customWidth="1"/>
    <col min="7" max="9" width="14" customWidth="1"/>
    <col min="10" max="10" width="25" customWidth="1"/>
    <col min="11" max="11" width="26" customWidth="1"/>
    <col min="12" max="12" width="14" customWidth="1"/>
  </cols>
  <sheetData>
    <row r="1" spans="1:12" x14ac:dyDescent="0.2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1" t="s">
        <v>414</v>
      </c>
      <c r="B2" s="11" t="s">
        <v>405</v>
      </c>
      <c r="C2" s="11" t="s">
        <v>415</v>
      </c>
      <c r="D2" s="11" t="s">
        <v>416</v>
      </c>
      <c r="E2" s="11" t="s">
        <v>417</v>
      </c>
      <c r="F2" s="11" t="s">
        <v>418</v>
      </c>
      <c r="G2" s="11" t="s">
        <v>419</v>
      </c>
      <c r="H2" s="11" t="s">
        <v>420</v>
      </c>
      <c r="I2" s="11" t="s">
        <v>421</v>
      </c>
      <c r="J2" s="11" t="s">
        <v>422</v>
      </c>
      <c r="K2" s="11" t="s">
        <v>423</v>
      </c>
      <c r="L2" s="11" t="s">
        <v>338</v>
      </c>
    </row>
    <row r="3" spans="1:12" x14ac:dyDescent="0.2">
      <c r="A3" s="7" t="s">
        <v>424</v>
      </c>
      <c r="B3" s="7" t="s">
        <v>411</v>
      </c>
      <c r="C3" s="7" t="s">
        <v>95</v>
      </c>
      <c r="D3" s="7" t="s">
        <v>425</v>
      </c>
      <c r="E3" s="7" t="s">
        <v>96</v>
      </c>
      <c r="F3" s="8" t="s">
        <v>426</v>
      </c>
      <c r="G3" s="7">
        <v>6</v>
      </c>
      <c r="H3" s="7">
        <v>150</v>
      </c>
      <c r="I3" s="7">
        <v>210</v>
      </c>
      <c r="J3" s="8" t="s">
        <v>427</v>
      </c>
      <c r="K3" s="7">
        <v>5.5</v>
      </c>
      <c r="L3" s="7" t="s">
        <v>97</v>
      </c>
    </row>
  </sheetData>
  <mergeCells count="1">
    <mergeCell ref="A1:L1"/>
  </mergeCells>
  <dataValidations count="3">
    <dataValidation type="list" allowBlank="1" showErrorMessage="1" errorTitle="Invalid entry" error="Please choose a value from the list." sqref="C3:C500" xr:uid="{00000000-0002-0000-1300-000000000000}">
      <formula1>LIST_CROP</formula1>
      <formula2>0</formula2>
    </dataValidation>
    <dataValidation type="list" allowBlank="1" showErrorMessage="1" errorTitle="Invalid entry" error="Please choose a value from the list." sqref="E3:E500" xr:uid="{00000000-0002-0000-1300-000001000000}">
      <formula1>LIST_SEASON</formula1>
      <formula2>0</formula2>
    </dataValidation>
    <dataValidation type="list" allowBlank="1" showErrorMessage="1" errorTitle="Invalid entry" error="Please choose a value from the list." sqref="L3:L500" xr:uid="{00000000-0002-0000-1300-000002000000}">
      <formula1>LIST_PLANTING_STATUS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48235"/>
  </sheetPr>
  <dimension ref="A1:M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7" customWidth="1"/>
    <col min="3" max="8" width="14" customWidth="1"/>
    <col min="9" max="9" width="16" customWidth="1"/>
    <col min="10" max="11" width="17" customWidth="1"/>
    <col min="12" max="12" width="14" customWidth="1"/>
    <col min="13" max="13" width="15" customWidth="1"/>
  </cols>
  <sheetData>
    <row r="1" spans="1:13" x14ac:dyDescent="0.2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1" t="s">
        <v>266</v>
      </c>
      <c r="B2" s="11" t="s">
        <v>414</v>
      </c>
      <c r="C2" s="11" t="s">
        <v>429</v>
      </c>
      <c r="D2" s="11" t="s">
        <v>284</v>
      </c>
      <c r="E2" s="11" t="s">
        <v>261</v>
      </c>
      <c r="F2" s="11" t="s">
        <v>270</v>
      </c>
      <c r="G2" s="11" t="s">
        <v>271</v>
      </c>
      <c r="H2" s="11" t="s">
        <v>430</v>
      </c>
      <c r="I2" s="11" t="s">
        <v>431</v>
      </c>
      <c r="J2" s="11" t="s">
        <v>432</v>
      </c>
      <c r="K2" s="11" t="s">
        <v>433</v>
      </c>
      <c r="L2" s="11" t="s">
        <v>351</v>
      </c>
      <c r="M2" s="11" t="s">
        <v>278</v>
      </c>
    </row>
    <row r="3" spans="1:13" x14ac:dyDescent="0.2">
      <c r="A3" s="8" t="s">
        <v>434</v>
      </c>
      <c r="B3" s="7" t="s">
        <v>424</v>
      </c>
      <c r="C3" s="7" t="s">
        <v>191</v>
      </c>
      <c r="D3" s="7" t="s">
        <v>435</v>
      </c>
      <c r="E3" s="7" t="s">
        <v>436</v>
      </c>
      <c r="F3" s="7">
        <v>900</v>
      </c>
      <c r="G3" s="7" t="s">
        <v>73</v>
      </c>
      <c r="H3" s="7">
        <v>540</v>
      </c>
      <c r="I3" s="7">
        <v>12</v>
      </c>
      <c r="J3" s="7">
        <v>2</v>
      </c>
      <c r="K3" s="7">
        <v>0</v>
      </c>
      <c r="L3" s="7"/>
      <c r="M3" s="7" t="s">
        <v>437</v>
      </c>
    </row>
  </sheetData>
  <mergeCells count="1">
    <mergeCell ref="A1:M1"/>
  </mergeCells>
  <dataValidations count="2">
    <dataValidation type="list" allowBlank="1" showErrorMessage="1" errorTitle="Invalid entry" error="Please choose a value from the list." sqref="C3:C500" xr:uid="{00000000-0002-0000-1400-000000000000}">
      <formula1>LIST_OP_TYPE</formula1>
      <formula2>0</formula2>
    </dataValidation>
    <dataValidation type="list" allowBlank="1" showErrorMessage="1" errorTitle="Invalid entry" error="Please choose a value from the list." sqref="G3:G500" xr:uid="{00000000-0002-0000-1400-000001000000}">
      <formula1>LIST_UNIT_FIELD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48235"/>
  </sheetPr>
  <dimension ref="A1:J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7" customWidth="1"/>
    <col min="3" max="3" width="16" customWidth="1"/>
    <col min="4" max="5" width="14" customWidth="1"/>
    <col min="6" max="6" width="16" customWidth="1"/>
    <col min="7" max="8" width="17" customWidth="1"/>
    <col min="9" max="9" width="16" customWidth="1"/>
    <col min="10" max="10" width="14" customWidth="1"/>
  </cols>
  <sheetData>
    <row r="1" spans="1:10" x14ac:dyDescent="0.2">
      <c r="A1" s="1" t="s">
        <v>438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1" t="s">
        <v>266</v>
      </c>
      <c r="B2" s="11" t="s">
        <v>414</v>
      </c>
      <c r="C2" s="11" t="s">
        <v>439</v>
      </c>
      <c r="D2" s="11" t="s">
        <v>440</v>
      </c>
      <c r="E2" s="11" t="s">
        <v>441</v>
      </c>
      <c r="F2" s="11" t="s">
        <v>442</v>
      </c>
      <c r="G2" s="11" t="s">
        <v>443</v>
      </c>
      <c r="H2" s="11" t="s">
        <v>444</v>
      </c>
      <c r="I2" s="11" t="s">
        <v>445</v>
      </c>
      <c r="J2" s="11" t="s">
        <v>446</v>
      </c>
    </row>
    <row r="3" spans="1:10" x14ac:dyDescent="0.2">
      <c r="A3" s="8" t="s">
        <v>447</v>
      </c>
      <c r="B3" s="7" t="s">
        <v>424</v>
      </c>
      <c r="C3" s="7" t="s">
        <v>136</v>
      </c>
      <c r="D3" s="7" t="s">
        <v>100</v>
      </c>
      <c r="E3" s="7" t="s">
        <v>448</v>
      </c>
      <c r="F3" s="7">
        <v>2</v>
      </c>
      <c r="G3" s="7">
        <v>8</v>
      </c>
      <c r="H3" s="7" t="s">
        <v>138</v>
      </c>
      <c r="I3" s="7" t="s">
        <v>449</v>
      </c>
      <c r="J3" s="7" t="s">
        <v>437</v>
      </c>
    </row>
  </sheetData>
  <mergeCells count="1">
    <mergeCell ref="A1:J1"/>
  </mergeCells>
  <dataValidations count="3">
    <dataValidation type="list" allowBlank="1" showErrorMessage="1" errorTitle="Invalid entry" error="Please choose a value from the list." sqref="C3:C500" xr:uid="{00000000-0002-0000-1500-000000000000}">
      <formula1>LIST_GROWTH_STAGE</formula1>
      <formula2>0</formula2>
    </dataValidation>
    <dataValidation type="list" allowBlank="1" showErrorMessage="1" errorTitle="Invalid entry" error="Please choose a value from the list." sqref="D3:D500" xr:uid="{00000000-0002-0000-1500-000001000000}">
      <formula1>LIST_ISSUE_TYPE</formula1>
      <formula2>0</formula2>
    </dataValidation>
    <dataValidation type="list" allowBlank="1" showErrorMessage="1" errorTitle="Invalid entry" error="Please choose a value from the list." sqref="H3:H500" xr:uid="{00000000-0002-0000-1500-000002000000}">
      <formula1>LIST_SOIL_MOISTURE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48235"/>
  </sheetPr>
  <dimension ref="A1:I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7" customWidth="1"/>
    <col min="3" max="3" width="14" customWidth="1"/>
    <col min="4" max="4" width="15" customWidth="1"/>
    <col min="5" max="5" width="16" customWidth="1"/>
    <col min="6" max="6" width="14" customWidth="1"/>
    <col min="7" max="7" width="17" customWidth="1"/>
    <col min="8" max="8" width="20" customWidth="1"/>
    <col min="9" max="9" width="16" customWidth="1"/>
  </cols>
  <sheetData>
    <row r="1" spans="1:9" x14ac:dyDescent="0.2">
      <c r="A1" s="1" t="s">
        <v>450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1" t="s">
        <v>266</v>
      </c>
      <c r="B2" s="11" t="s">
        <v>414</v>
      </c>
      <c r="C2" s="11" t="s">
        <v>451</v>
      </c>
      <c r="D2" s="11" t="s">
        <v>452</v>
      </c>
      <c r="E2" s="11" t="s">
        <v>453</v>
      </c>
      <c r="F2" s="11" t="s">
        <v>289</v>
      </c>
      <c r="G2" s="11" t="s">
        <v>454</v>
      </c>
      <c r="H2" s="11" t="s">
        <v>455</v>
      </c>
      <c r="I2" s="11" t="s">
        <v>431</v>
      </c>
    </row>
    <row r="3" spans="1:9" x14ac:dyDescent="0.2">
      <c r="A3" s="8" t="s">
        <v>456</v>
      </c>
      <c r="B3" s="7" t="s">
        <v>424</v>
      </c>
      <c r="C3" s="7">
        <v>66</v>
      </c>
      <c r="D3" s="7">
        <f>C3*50</f>
        <v>3300</v>
      </c>
      <c r="E3" s="7">
        <v>12.5</v>
      </c>
      <c r="F3" s="7" t="s">
        <v>101</v>
      </c>
      <c r="G3" s="7">
        <v>40</v>
      </c>
      <c r="H3" s="7" t="s">
        <v>140</v>
      </c>
      <c r="I3" s="7">
        <v>20</v>
      </c>
    </row>
  </sheetData>
  <mergeCells count="1">
    <mergeCell ref="A1:I1"/>
  </mergeCells>
  <dataValidations count="2">
    <dataValidation type="list" allowBlank="1" showErrorMessage="1" errorTitle="Invalid entry" error="Please choose a value from the list." sqref="F3:F500" xr:uid="{00000000-0002-0000-1600-000000000000}">
      <formula1>LIST_GRADE</formula1>
      <formula2>0</formula2>
    </dataValidation>
    <dataValidation type="list" allowBlank="1" showErrorMessage="1" errorTitle="Invalid entry" error="Please choose a value from the list." sqref="H3:H500" xr:uid="{00000000-0002-0000-1600-000001000000}">
      <formula1>LIST_STORAGE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40</vt:i4>
      </vt:variant>
    </vt:vector>
  </HeadingPairs>
  <TitlesOfParts>
    <vt:vector size="63" baseType="lpstr">
      <vt:lpstr>README</vt:lpstr>
      <vt:lpstr>99_LISTS</vt:lpstr>
      <vt:lpstr>00_FARM_PROFILE</vt:lpstr>
      <vt:lpstr>01_STAFF</vt:lpstr>
      <vt:lpstr>02_EXPENSES</vt:lpstr>
      <vt:lpstr>03_REVENUE</vt:lpstr>
      <vt:lpstr>04_LABOUR_LOG</vt:lpstr>
      <vt:lpstr>05_WEATHER_LOG</vt:lpstr>
      <vt:lpstr>06_FEED_INVENTORY</vt:lpstr>
      <vt:lpstr>07_HEALTH_LOG</vt:lpstr>
      <vt:lpstr>P1_PIG_BATCHES</vt:lpstr>
      <vt:lpstr>P2_PIG_DAILY_LOG</vt:lpstr>
      <vt:lpstr>P3_PIG_WEIGHTS</vt:lpstr>
      <vt:lpstr>P4_SOW_REGISTER</vt:lpstr>
      <vt:lpstr>P5_BREEDING_FARROWING</vt:lpstr>
      <vt:lpstr>C1_POULTRY_BATCHES</vt:lpstr>
      <vt:lpstr>C2_POULTRY_DAILY_LOG</vt:lpstr>
      <vt:lpstr>C3_POULTRY_WEIGHTS</vt:lpstr>
      <vt:lpstr>F1_PLOTS</vt:lpstr>
      <vt:lpstr>F2_PLANTINGS</vt:lpstr>
      <vt:lpstr>F3_FIELD_OPERATIONS</vt:lpstr>
      <vt:lpstr>F4_SCOUTING_LOG</vt:lpstr>
      <vt:lpstr>F5_HARVEST_LOG</vt:lpstr>
      <vt:lpstr>LIST_BIRD_TYPE</vt:lpstr>
      <vt:lpstr>LIST_BREED_PIG</vt:lpstr>
      <vt:lpstr>LIST_BREED_POULTRY</vt:lpstr>
      <vt:lpstr>LIST_CHANNEL</vt:lpstr>
      <vt:lpstr>LIST_CROP</vt:lpstr>
      <vt:lpstr>LIST_CURRENCY</vt:lpstr>
      <vt:lpstr>LIST_DOMAIN</vt:lpstr>
      <vt:lpstr>LIST_EXP_CATEGORY</vt:lpstr>
      <vt:lpstr>LIST_FEED_TYPE</vt:lpstr>
      <vt:lpstr>LIST_GRADE</vt:lpstr>
      <vt:lpstr>LIST_GROWTH_STAGE</vt:lpstr>
      <vt:lpstr>LIST_HEALTH_EVENT</vt:lpstr>
      <vt:lpstr>LIST_IRRIGATION_TYPE</vt:lpstr>
      <vt:lpstr>LIST_ISSUE_TYPE</vt:lpstr>
      <vt:lpstr>LIST_LITTER_CONDITION</vt:lpstr>
      <vt:lpstr>LIST_OP_TYPE</vt:lpstr>
      <vt:lpstr>LIST_OUTCOME</vt:lpstr>
      <vt:lpstr>LIST_PAY_TYPE</vt:lpstr>
      <vt:lpstr>LIST_PAYMENT_METHOD</vt:lpstr>
      <vt:lpstr>LIST_PAYMENT_STATUS</vt:lpstr>
      <vt:lpstr>LIST_PEN_CONDITION</vt:lpstr>
      <vt:lpstr>LIST_PLANTING_STATUS</vt:lpstr>
      <vt:lpstr>LIST_POULTRY_STATUS</vt:lpstr>
      <vt:lpstr>LIST_PRODUCT</vt:lpstr>
      <vt:lpstr>LIST_ROLE</vt:lpstr>
      <vt:lpstr>LIST_SEASON</vt:lpstr>
      <vt:lpstr>LIST_SERVICE_TYPE</vt:lpstr>
      <vt:lpstr>LIST_SOIL_MOISTURE</vt:lpstr>
      <vt:lpstr>LIST_SOIL_TYPE</vt:lpstr>
      <vt:lpstr>LIST_SOURCE</vt:lpstr>
      <vt:lpstr>LIST_SOW_STATUS</vt:lpstr>
      <vt:lpstr>LIST_STATUS_BATCH</vt:lpstr>
      <vt:lpstr>LIST_STORAGE</vt:lpstr>
      <vt:lpstr>LIST_SYMPTOM</vt:lpstr>
      <vt:lpstr>LIST_TASK</vt:lpstr>
      <vt:lpstr>LIST_UNIT_FIELD</vt:lpstr>
      <vt:lpstr>LIST_UNIT_GENERAL</vt:lpstr>
      <vt:lpstr>LIST_UNIT_SALES</vt:lpstr>
      <vt:lpstr>LIST_WEATHER_EVENT</vt:lpstr>
      <vt:lpstr>LIST_YESNO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Sylvester Vhashe [student]</cp:lastModifiedBy>
  <cp:revision>0</cp:revision>
  <dcterms:created xsi:type="dcterms:W3CDTF">2026-09-15T20:36:36Z</dcterms:created>
  <dcterms:modified xsi:type="dcterms:W3CDTF">2026-09-15T20:46:58Z</dcterms:modified>
  <dc:language>en-US</dc:language>
</cp:coreProperties>
</file>