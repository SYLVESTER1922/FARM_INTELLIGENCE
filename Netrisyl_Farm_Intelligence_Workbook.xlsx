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2" activeTab="5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99_LISTS" sheetId="2" state="visible" r:id="rId2"/>
    <sheet xmlns:r="http://schemas.openxmlformats.org/officeDocument/2006/relationships" name="00_FARM_PROFILE" sheetId="3" state="visible" r:id="rId3"/>
    <sheet xmlns:r="http://schemas.openxmlformats.org/officeDocument/2006/relationships" name="01_STAFF" sheetId="4" state="visible" r:id="rId4"/>
    <sheet xmlns:r="http://schemas.openxmlformats.org/officeDocument/2006/relationships" name="02_EXPENSES" sheetId="5" state="visible" r:id="rId5"/>
    <sheet xmlns:r="http://schemas.openxmlformats.org/officeDocument/2006/relationships" name="03_REVENUE" sheetId="6" state="visible" r:id="rId6"/>
    <sheet xmlns:r="http://schemas.openxmlformats.org/officeDocument/2006/relationships" name="04_LABOUR_LOG" sheetId="7" state="visible" r:id="rId7"/>
    <sheet xmlns:r="http://schemas.openxmlformats.org/officeDocument/2006/relationships" name="05_WEATHER_LOG" sheetId="8" state="visible" r:id="rId8"/>
    <sheet xmlns:r="http://schemas.openxmlformats.org/officeDocument/2006/relationships" name="06_FEED_INVENTORY" sheetId="9" state="visible" r:id="rId9"/>
    <sheet xmlns:r="http://schemas.openxmlformats.org/officeDocument/2006/relationships" name="07_HEALTH_LOG" sheetId="10" state="visible" r:id="rId10"/>
    <sheet xmlns:r="http://schemas.openxmlformats.org/officeDocument/2006/relationships" name="P1_PIG_BATCHES" sheetId="11" state="visible" r:id="rId11"/>
    <sheet xmlns:r="http://schemas.openxmlformats.org/officeDocument/2006/relationships" name="P2_PIG_DAILY_LOG" sheetId="12" state="visible" r:id="rId12"/>
    <sheet xmlns:r="http://schemas.openxmlformats.org/officeDocument/2006/relationships" name="P3_PIG_WEIGHTS" sheetId="13" state="visible" r:id="rId13"/>
    <sheet xmlns:r="http://schemas.openxmlformats.org/officeDocument/2006/relationships" name="P4_SOW_REGISTER" sheetId="14" state="visible" r:id="rId14"/>
    <sheet xmlns:r="http://schemas.openxmlformats.org/officeDocument/2006/relationships" name="P5_BREEDING_FARROWING" sheetId="15" state="visible" r:id="rId15"/>
    <sheet xmlns:r="http://schemas.openxmlformats.org/officeDocument/2006/relationships" name="C1_POULTRY_BATCHES" sheetId="16" state="visible" r:id="rId16"/>
    <sheet xmlns:r="http://schemas.openxmlformats.org/officeDocument/2006/relationships" name="C2_POULTRY_DAILY_LOG" sheetId="17" state="visible" r:id="rId17"/>
    <sheet xmlns:r="http://schemas.openxmlformats.org/officeDocument/2006/relationships" name="C3_POULTRY_WEIGHTS" sheetId="18" state="visible" r:id="rId18"/>
    <sheet xmlns:r="http://schemas.openxmlformats.org/officeDocument/2006/relationships" name="F1_PLOTS" sheetId="19" state="visible" r:id="rId19"/>
    <sheet xmlns:r="http://schemas.openxmlformats.org/officeDocument/2006/relationships" name="F2_PLANTINGS" sheetId="20" state="visible" r:id="rId20"/>
    <sheet xmlns:r="http://schemas.openxmlformats.org/officeDocument/2006/relationships" name="F3_FIELD_OPERATIONS" sheetId="21" state="visible" r:id="rId21"/>
    <sheet xmlns:r="http://schemas.openxmlformats.org/officeDocument/2006/relationships" name="F4_SCOUTING_LOG" sheetId="22" state="visible" r:id="rId22"/>
    <sheet xmlns:r="http://schemas.openxmlformats.org/officeDocument/2006/relationships" name="F5_HARVEST_LOG" sheetId="23" state="visible" r:id="rId23"/>
  </sheets>
  <definedNames>
    <definedName name="LIST_BIRD_TYPE">'99_LISTS'!$Y$2:$Y$3</definedName>
    <definedName name="LIST_BREED_PIG">'99_LISTS'!$S$2:$S$4</definedName>
    <definedName name="LIST_BREED_POULTRY">'99_LISTS'!$Z$2:$Z$5</definedName>
    <definedName name="LIST_CHANNEL">'99_LISTS'!$K$2:$K$6</definedName>
    <definedName name="LIST_CROP">'99_LISTS'!$AE$2:$AE$7</definedName>
    <definedName name="LIST_CURRENCY">'99_LISTS'!$C$2:$C$3</definedName>
    <definedName name="LIST_DOMAIN">'99_LISTS'!$A$2:$A$5</definedName>
    <definedName name="LIST_EXP_CATEGORY">'99_LISTS'!$F$2:$F$15</definedName>
    <definedName name="LIST_FEED_TYPE">'99_LISTS'!$O$2:$O$12</definedName>
    <definedName name="LIST_GRADE">'99_LISTS'!$AM$2:$AM$5</definedName>
    <definedName name="LIST_GROWTH_STAGE">'99_LISTS'!$AJ$2:$AJ$7</definedName>
    <definedName name="LIST_HEALTH_EVENT">'99_LISTS'!$P$2:$P$4</definedName>
    <definedName name="LIST_IRRIGATION_TYPE">'99_LISTS'!$AD$2:$AD$5</definedName>
    <definedName name="LIST_ISSUE_TYPE">'99_LISTS'!$AK$2:$AK$6</definedName>
    <definedName name="LIST_LITTER_CONDITION">'99_LISTS'!$AB$2:$AB$5</definedName>
    <definedName name="LIST_OP_TYPE">'99_LISTS'!$AH$2:$AH$11</definedName>
    <definedName name="LIST_OUTCOME">'99_LISTS'!$R$2:$R$5</definedName>
    <definedName name="LIST_PAY_TYPE">'99_LISTS'!$E$2:$E$4</definedName>
    <definedName name="LIST_PAYMENT_METHOD">'99_LISTS'!$H$2:$H$5</definedName>
    <definedName name="LIST_PAYMENT_STATUS">'99_LISTS'!$L$2:$L$4</definedName>
    <definedName name="LIST_PEN_CONDITION">'99_LISTS'!$V$2:$V$5</definedName>
    <definedName name="LIST_PLANTING_STATUS">'99_LISTS'!$AG$2:$AG$4</definedName>
    <definedName name="LIST_POULTRY_STATUS">'99_LISTS'!$AA$2:$AA$6</definedName>
    <definedName name="LIST_PRODUCT">'99_LISTS'!$I$2:$I$10</definedName>
    <definedName name="LIST_ROLE">'99_LISTS'!$D$2:$D$6</definedName>
    <definedName name="LIST_SEASON">'99_LISTS'!$AF$2:$AF$5</definedName>
    <definedName name="LIST_SERVICE_TYPE">'99_LISTS'!$X$2:$X$3</definedName>
    <definedName name="LIST_SOIL_MOISTURE">'99_LISTS'!$AL$2:$AL$4</definedName>
    <definedName name="LIST_SOIL_TYPE">'99_LISTS'!$AC$2:$AC$5</definedName>
    <definedName name="LIST_SOURCE">'99_LISTS'!$T$2:$T$3</definedName>
    <definedName name="LIST_SOW_STATUS">'99_LISTS'!$W$2:$W$6</definedName>
    <definedName name="LIST_STATUS_BATCH">'99_LISTS'!$U$2:$U$4</definedName>
    <definedName name="LIST_STORAGE">'99_LISTS'!$AN$2:$AN$5</definedName>
    <definedName name="LIST_SYMPTOM">'99_LISTS'!$Q$2:$Q$8</definedName>
    <definedName name="LIST_TASK">'99_LISTS'!$M$2:$M$11</definedName>
    <definedName name="LIST_UNIT_FIELD">'99_LISTS'!$AI$2:$AI$5</definedName>
    <definedName name="LIST_UNIT_GENERAL">'99_LISTS'!$G$2:$G$8</definedName>
    <definedName name="LIST_UNIT_SALES">'99_LISTS'!$J$2:$J$6</definedName>
    <definedName name="LIST_WEATHER_EVENT">'99_LISTS'!$N$2:$N$7</definedName>
    <definedName name="LIST_YESNO">'99_LISTS'!$B$2:$B$3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8">
    <font>
      <name val="Calibri"/>
      <charset val="1"/>
      <family val="2"/>
      <color theme="1"/>
      <sz val="11"/>
    </font>
    <font>
      <name val="Arial"/>
      <family val="2"/>
      <sz val="10"/>
    </font>
    <font>
      <name val="Cambria"/>
      <family val="1"/>
      <b val="1"/>
      <color rgb="FF2F5597"/>
      <sz val="16"/>
    </font>
    <font>
      <name val="Cambria"/>
      <family val="1"/>
      <color rgb="FF000000"/>
      <sz val="11"/>
    </font>
    <font>
      <name val="Cambria"/>
      <family val="1"/>
      <b val="1"/>
      <color rgb="FF2F5597"/>
      <sz val="13"/>
    </font>
    <font>
      <name val="Cambria"/>
      <family val="1"/>
      <b val="1"/>
      <color rgb="FFFFFFFF"/>
      <sz val="11"/>
    </font>
    <font>
      <name val="Cambria"/>
      <family val="1"/>
      <i val="1"/>
      <color rgb="FF595959"/>
      <sz val="9"/>
    </font>
    <font>
      <name val="Cambria"/>
      <family val="1"/>
      <i val="1"/>
      <color rgb="FF7F6000"/>
      <sz val="11"/>
    </font>
  </fonts>
  <fills count="8">
    <fill>
      <patternFill/>
    </fill>
    <fill>
      <patternFill patternType="gray125"/>
    </fill>
    <fill>
      <patternFill patternType="solid">
        <fgColor rgb="FF595959"/>
        <bgColor rgb="FF2F5597"/>
      </patternFill>
    </fill>
    <fill>
      <patternFill patternType="solid">
        <fgColor rgb="FF2F5597"/>
        <bgColor rgb="FF595959"/>
      </patternFill>
    </fill>
    <fill>
      <patternFill patternType="solid">
        <fgColor rgb="FFFFF2CC"/>
        <bgColor rgb="FFFFFFFF"/>
      </patternFill>
    </fill>
    <fill>
      <patternFill patternType="solid">
        <fgColor rgb="FFC0504D"/>
        <bgColor rgb="FF993366"/>
      </patternFill>
    </fill>
    <fill>
      <patternFill patternType="solid">
        <fgColor rgb="FFC09000"/>
        <bgColor rgb="FFFF6600"/>
      </patternFill>
    </fill>
    <fill>
      <patternFill patternType="solid">
        <fgColor rgb="FF548235"/>
        <bgColor rgb="FF59595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3" borderId="1" applyAlignment="1" pivotButton="0" quotePrefix="0" xfId="0">
      <alignment vertical="center" wrapText="1"/>
    </xf>
    <xf numFmtId="0" fontId="7" fillId="4" borderId="1" pivotButton="0" quotePrefix="0" xfId="0"/>
    <xf numFmtId="164" fontId="7" fillId="4" borderId="1" pivotButton="0" quotePrefix="0" xfId="0"/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09000"/>
      <rgbColor rgb="FFFF6600"/>
      <rgbColor rgb="FF595959"/>
      <rgbColor rgb="FF969696"/>
      <rgbColor rgb="FF003366"/>
      <rgbColor rgb="FF548235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omments/comment1.xml><?xml version="1.0" encoding="utf-8"?>
<comments xmlns="http://schemas.openxmlformats.org/spreadsheetml/2006/main">
  <authors>
    <author>Unknown Author</author>
  </authors>
  <commentList>
    <comment ref="A2" authorId="0" shapeId="0">
      <text>
        <t>NIS-001 — prefix used on every other sheet</t>
      </text>
    </comment>
    <comment ref="C2" authorId="0" shapeId="0">
      <text>
        <t>used for rainfall benchmarks</t>
      </text>
    </comment>
    <comment ref="D2" authorId="0" shapeId="0">
      <text>
        <t>Never mix currencies in one workbook</t>
      </text>
    </comment>
    <comment ref="A3" authorId="0" shapeId="0">
      <text>
        <t>SAMPLE ROW — shows expected format. Overwrite or delete before real entry.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2" authorId="0" shapeId="0">
      <text>
        <t>S01 — short codes, workers can't spell-match names</t>
      </text>
    </comment>
    <comment ref="F2" authorId="0" shapeId="0">
      <text>
        <t>per day / month / unit — the labour_cost formula in 04_LABOUR_LOG assumes a DAILY rate; adjust the formula for monthly/piece-rate staff</t>
      </text>
    </comment>
    <comment ref="A3" authorId="0" shapeId="0">
      <text>
        <t>SAMPLE ROW — shows expected format. Overwrite or delete before real entry.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2" authorId="0" shapeId="0">
      <text>
        <t>NEVER free text</t>
      </text>
    </comment>
    <comment ref="H2" authorId="0" shapeId="0">
      <text>
        <t>=quantity*unit_cost, but editable for haggled prices</t>
      </text>
    </comment>
    <comment ref="I2" authorId="0" shapeId="0">
      <text>
        <t>pick from a past entry or type a new supplier</t>
      </text>
    </comment>
    <comment ref="K2" authorId="0" shapeId="0">
      <text>
        <t>Optional — link to a PIG-/BRO-/MZ- batch code for per-batch P&amp;L</t>
      </text>
    </comment>
    <comment ref="L2" authorId="0" shapeId="0">
      <text>
        <t>How a 'shared' cost should be split, e.g. '60/40 pigs/chickens'</t>
      </text>
    </comment>
    <comment ref="M2" authorId="0" shapeId="0">
      <text>
        <t>staff_code from 01_STAFF</t>
      </text>
    </comment>
    <comment ref="A3" authorId="0" shapeId="0">
      <text>
        <t>SAMPLE ROW — shows expected format. Overwrite or delete before real entry.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H2" authorId="0" shapeId="0">
      <text>
        <t>animals only</t>
      </text>
    </comment>
    <comment ref="I2" authorId="0" shapeId="0">
      <text>
        <t>animals only — enables $/kg liveweight analysis</t>
      </text>
    </comment>
    <comment ref="J2" authorId="0" shapeId="0">
      <text>
        <t>A/B/C, Grade A eggs, Grade 1 maize</t>
      </text>
    </comment>
    <comment ref="M2" authorId="0" shapeId="0">
      <text>
        <t>Debtor questions depend on this</t>
      </text>
    </comment>
    <comment ref="A3" authorId="0" shapeId="0">
      <text>
        <t>SAMPLE ROW — shows expected format. Overwrite or delete before real entry.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B2" authorId="0" shapeId="0">
      <text>
        <t>staff_code from 01_STAFF</t>
      </text>
    </comment>
    <comment ref="E2" authorId="0" shapeId="0">
      <text>
        <t>0.5 increments</t>
      </text>
    </comment>
    <comment ref="G2" authorId="0" shapeId="0">
      <text>
        <t>hours x rate, looked up from 01_STAFF</t>
      </text>
    </comment>
    <comment ref="H2" authorId="0" shapeId="0">
      <text>
        <t>optional</t>
      </text>
    </comment>
    <comment ref="A3" authorId="0" shapeId="0">
      <text>
        <t>SAMPLE ROW — shows expected format. Overwrite or delete before real entry.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A3" authorId="0" shapeId="0">
      <text>
        <t>SAMPLE ROW — shows expected format. Overwrite or delete before real entry.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D2" authorId="0" shapeId="0">
      <text>
        <t>carry forward from last week's closing_kg</t>
      </text>
    </comment>
    <comment ref="F2" authorId="0" shapeId="0">
      <text>
        <t>sum of feed_kg from the daily log for this domain+feed_type over the week — set up as SUMIFS once live in Google Sheets</t>
      </text>
    </comment>
    <comment ref="G2" authorId="0" shapeId="0">
      <text>
        <t>spillage, spoiled, rats</t>
      </text>
    </comment>
    <comment ref="H2" authorId="0" shapeId="0">
      <text>
        <t>physically counted bags x bag size</t>
      </text>
    </comment>
    <comment ref="A3" authorId="0" shapeId="0">
      <text>
        <t>SAMPLE ROW — shows expected format. Overwrite or delete before real entry.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D2" authorId="0" shapeId="0">
      <text>
        <t>sows/boars only; blank for flock-level</t>
      </text>
    </comment>
    <comment ref="H2" authorId="0" shapeId="0">
      <text>
        <t>e.g. Newcastle LaSota, Gumboro, Ivermectin, Oxytet LA, Amprolium</t>
      </text>
    </comment>
    <comment ref="L2" authorId="0" shapeId="0">
      <text>
        <t>Enter expected withdrawal end date from the product label</t>
      </text>
    </comment>
    <comment ref="A3" authorId="0" shapeId="0">
      <text>
        <t>SAMPLE ROW — shows expected format. Overwrite or delete before real entry.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A3" authorId="0" shapeId="0">
      <text>
        <t>SAMPLE ROW — shows expected format. Overwrite or delete before real entry.</t>
      </text>
    </comment>
  </commentList>
</comments>
</file>

<file path=xl/comments/comment10.xml><?xml version="1.0" encoding="utf-8"?>
<comments xmlns="http://schemas.openxmlformats.org/spreadsheetml/2006/main">
  <authors>
    <author>Unknown Author</author>
  </authors>
  <commentList>
    <comment ref="E2" authorId="0" shapeId="0">
      <text>
        <t>buckets x bucket weight is fine</t>
      </text>
    </comment>
    <comment ref="I2" authorId="0" shapeId="0">
      <text>
        <t>auto: batch start_count minus deaths, culls, sales to date</t>
      </text>
    </comment>
    <comment ref="A3" authorId="0" shapeId="0">
      <text>
        <t>SAMPLE ROW — shows expected format. Overwrite or delete before real entry.</t>
      </text>
    </comment>
  </commentList>
</comments>
</file>

<file path=xl/comments/comment11.xml><?xml version="1.0" encoding="utf-8"?>
<comments xmlns="http://schemas.openxmlformats.org/spreadsheetml/2006/main">
  <authors>
    <author>Unknown Author</author>
  </authors>
  <commentList>
    <comment ref="C2" authorId="0" shapeId="0">
      <text>
        <t>min 8 pigs</t>
      </text>
    </comment>
    <comment ref="F2" authorId="0" shapeId="0">
      <text>
        <t>spread reveals runts / feeder problems</t>
      </text>
    </comment>
    <comment ref="G2" authorId="0" shapeId="0">
      <text>
        <t>auto: today minus the batch start_date</t>
      </text>
    </comment>
    <comment ref="A3" authorId="0" shapeId="0">
      <text>
        <t>SAMPLE ROW — shows expected format. Overwrite or delete before real entry.</t>
      </text>
    </comment>
  </commentList>
</comments>
</file>

<file path=xl/comments/comment12.xml><?xml version="1.0" encoding="utf-8"?>
<comments xmlns="http://schemas.openxmlformats.org/spreadsheetml/2006/main">
  <authors>
    <author>Unknown Author</author>
  </authors>
  <commentList>
    <comment ref="A3" authorId="0" shapeId="0">
      <text>
        <t>SAMPLE ROW — shows expected format. Overwrite or delete before real entry.</t>
      </text>
    </comment>
  </commentList>
</comments>
</file>

<file path=xl/comments/comment13.xml><?xml version="1.0" encoding="utf-8"?>
<comments xmlns="http://schemas.openxmlformats.org/spreadsheetml/2006/main">
  <authors>
    <author>Unknown Author</author>
  </authors>
  <commentList>
    <comment ref="F2" authorId="0" shapeId="0">
      <text>
        <t>auto: service_date + 114 days</t>
      </text>
    </comment>
    <comment ref="O2" authorId="0" shapeId="0">
      <text>
        <t>links weaners into P1_PIG_BATCHES</t>
      </text>
    </comment>
    <comment ref="A3" authorId="0" shapeId="0">
      <text>
        <t>SAMPLE ROW — shows expected format. Overwrite or delete before real entry.</t>
      </text>
    </comment>
  </commentList>
</comments>
</file>

<file path=xl/comments/comment14.xml><?xml version="1.0" encoding="utf-8"?>
<comments xmlns="http://schemas.openxmlformats.org/spreadsheetml/2006/main">
  <authors>
    <author>Unknown Author</author>
  </authors>
  <commentList>
    <comment ref="I2" authorId="0" shapeId="0">
      <text>
        <t>day 42 broilers / 72 weeks layers</t>
      </text>
    </comment>
    <comment ref="A3" authorId="0" shapeId="0">
      <text>
        <t>SAMPLE ROW — shows expected format. Overwrite or delete before real entry.</t>
      </text>
    </comment>
  </commentList>
</comments>
</file>

<file path=xl/comments/comment15.xml><?xml version="1.0" encoding="utf-8"?>
<comments xmlns="http://schemas.openxmlformats.org/spreadsheetml/2006/main">
  <authors>
    <author>Unknown Author</author>
  </authors>
  <commentList>
    <comment ref="C2" authorId="0" shapeId="0">
      <text>
        <t>auto: today minus placement_date</t>
      </text>
    </comment>
    <comment ref="F2" authorId="0" shapeId="0">
      <text>
        <t>auto: chicks_placed minus cumulative deaths/culls</t>
      </text>
    </comment>
    <comment ref="I2" authorId="0" shapeId="0">
      <text>
        <t>water:feed ratio is the earliest disease alarm</t>
      </text>
    </comment>
    <comment ref="L2" authorId="0" shapeId="0">
      <text>
        <t>layers</t>
      </text>
    </comment>
    <comment ref="A3" authorId="0" shapeId="0">
      <text>
        <t>SAMPLE ROW — shows expected format. Overwrite or delete before real entry.</t>
      </text>
    </comment>
  </commentList>
</comments>
</file>

<file path=xl/comments/comment16.xml><?xml version="1.0" encoding="utf-8"?>
<comments xmlns="http://schemas.openxmlformats.org/spreadsheetml/2006/main">
  <authors>
    <author>Unknown Author</author>
  </authors>
  <commentList>
    <comment ref="C2" authorId="0" shapeId="0">
      <text>
        <t>auto: today minus placement_date</t>
      </text>
    </comment>
    <comment ref="D2" authorId="0" shapeId="0">
      <text>
        <t>min 20 birds</t>
      </text>
    </comment>
    <comment ref="F2" authorId="0" shapeId="0">
      <text>
        <t>% within +-10% of mean</t>
      </text>
    </comment>
    <comment ref="A3" authorId="0" shapeId="0">
      <text>
        <t>SAMPLE ROW — shows expected format. Overwrite or delete before real entry.</t>
      </text>
    </comment>
  </commentList>
</comments>
</file>

<file path=xl/comments/comment17.xml><?xml version="1.0" encoding="utf-8"?>
<comments xmlns="http://schemas.openxmlformats.org/spreadsheetml/2006/main">
  <authors>
    <author>Unknown Author</author>
  </authors>
  <commentList>
    <comment ref="A3" authorId="0" shapeId="0">
      <text>
        <t>SAMPLE ROW — shows expected format. Overwrite or delete before real entry.</t>
      </text>
    </comment>
  </commentList>
</comments>
</file>

<file path=xl/comments/comment18.xml><?xml version="1.0" encoding="utf-8"?>
<comments xmlns="http://schemas.openxmlformats.org/spreadsheetml/2006/main">
  <authors>
    <author>Unknown Author</author>
  </authors>
  <commentList>
    <comment ref="A3" authorId="0" shapeId="0">
      <text>
        <t>SAMPLE ROW — shows expected format. Overwrite or delete before real entry.</t>
      </text>
    </comment>
  </commentList>
</comments>
</file>

<file path=xl/comments/comment19.xml><?xml version="1.0" encoding="utf-8"?>
<comments xmlns="http://schemas.openxmlformats.org/spreadsheetml/2006/main">
  <authors>
    <author>Unknown Author</author>
  </authors>
  <commentList>
    <comment ref="D2" authorId="0" shapeId="0">
      <text>
        <t>e.g. Compound D, AN, Urea, Glyphosate, Karate</t>
      </text>
    </comment>
    <comment ref="E2" authorId="0" shapeId="0">
      <text>
        <t>e.g. '250 kg/ha'</t>
      </text>
    </comment>
    <comment ref="J2" authorId="0" shapeId="0">
      <text>
        <t>tractor / pump</t>
      </text>
    </comment>
    <comment ref="A3" authorId="0" shapeId="0">
      <text>
        <t>SAMPLE ROW — shows expected format. Overwrite or delete before real entry.</t>
      </text>
    </comment>
  </commentList>
</comments>
</file>

<file path=xl/comments/comment20.xml><?xml version="1.0" encoding="utf-8"?>
<comments xmlns="http://schemas.openxmlformats.org/spreadsheetml/2006/main">
  <authors>
    <author>Unknown Author</author>
  </authors>
  <commentList>
    <comment ref="E2" authorId="0" shapeId="0">
      <text>
        <t>e.g. Fall armyworm, Stalk borer, Grey leaf spot, Aphids, Nitrogen deficiency</t>
      </text>
    </comment>
    <comment ref="G2" authorId="0" shapeId="0">
      <text>
        <t>% plants affected in a 20-plant count</t>
      </text>
    </comment>
    <comment ref="A3" authorId="0" shapeId="0">
      <text>
        <t>SAMPLE ROW — shows expected format. Overwrite or delete before real entry.</t>
      </text>
    </comment>
  </commentList>
</comments>
</file>

<file path=xl/comments/comment21.xml><?xml version="1.0" encoding="utf-8"?>
<comments xmlns="http://schemas.openxmlformats.org/spreadsheetml/2006/main">
  <authors>
    <author>Unknown Author</author>
  </authors>
  <commentList>
    <comment ref="C2" authorId="0" shapeId="0">
      <text>
        <t>counted, not estimated</t>
      </text>
    </comment>
    <comment ref="D2" authorId="0" shapeId="0">
      <text>
        <t>auto: bags x 50kg standard bag weight, overridable</t>
      </text>
    </comment>
    <comment ref="A3" authorId="0" shapeId="0">
      <text>
        <t>SAMPLE ROW — shows expected format. Overwrite or delete before real entry.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showGridLines="0" topLeftCell="A3" zoomScaleNormal="100" workbookViewId="0">
      <selection activeCell="A1" sqref="A1"/>
    </sheetView>
  </sheetViews>
  <sheetFormatPr baseColWidth="10" defaultColWidth="8.6640625" defaultRowHeight="15"/>
  <cols>
    <col width="100" customWidth="1" min="1" max="1"/>
  </cols>
  <sheetData>
    <row r="1" ht="22" customHeight="1">
      <c r="A1" s="2" t="inlineStr">
        <is>
          <t>Netrisyl Farm Intelligence — Data Entry Workbook</t>
        </is>
      </c>
    </row>
    <row r="2">
      <c r="A2" s="3" t="n"/>
    </row>
    <row r="3" ht="30" customHeight="1">
      <c r="A3" s="3" t="inlineStr">
        <is>
          <t>One workbook per farm. Import this file into Google Sheets (File &gt; Import &gt; Replace spreadsheet) and it becomes the farm's live data-entry sheet.</t>
        </is>
      </c>
    </row>
    <row r="4">
      <c r="A4" s="3" t="n"/>
    </row>
    <row r="5" ht="18" customHeight="1">
      <c r="A5" s="4" t="inlineStr">
        <is>
          <t>HOW THE TABS ARE ORGANISED</t>
        </is>
      </c>
    </row>
    <row r="6" ht="30" customHeight="1">
      <c r="A6" s="3" t="inlineStr">
        <is>
          <t xml:space="preserve">  00-07  Shared CORE tabs — money, people, weather, feed store, health. Always installed, regardless of which modules a farm runs.</t>
        </is>
      </c>
    </row>
    <row r="7">
      <c r="A7" s="3" t="inlineStr">
        <is>
          <t xml:space="preserve">  P1-P5  PIGGERY module — remove these tabs entirely for a farm with no pigs.</t>
        </is>
      </c>
    </row>
    <row r="8">
      <c r="A8" s="3" t="inlineStr">
        <is>
          <t xml:space="preserve">  C1-C3  POULTRY module — remove these tabs entirely for a farm with no birds.</t>
        </is>
      </c>
    </row>
    <row r="9">
      <c r="A9" s="3" t="inlineStr">
        <is>
          <t xml:space="preserve">  F1-F5  CROPS module — remove these tabs entirely for a farm with no fields.</t>
        </is>
      </c>
    </row>
    <row r="10" ht="30" customHeight="1">
      <c r="A10" s="3" t="inlineStr">
        <is>
          <t xml:space="preserve">  99_LISTS  Hidden reference tab. Every dropdown pulls its options from here — edit a list once here and every sheet using it updates.</t>
        </is>
      </c>
    </row>
    <row r="11">
      <c r="A11" s="3" t="n"/>
    </row>
    <row r="12" ht="18" customHeight="1">
      <c r="A12" s="4" t="inlineStr">
        <is>
          <t>THE THREE JOIN KEYS</t>
        </is>
      </c>
    </row>
    <row r="13" ht="30" customHeight="1">
      <c r="A13" s="3" t="inlineStr">
        <is>
          <t xml:space="preserve">  farm_code   Not repeated on every sheet in this single-farm file, but add it back as the first column on every tab once you consolidate multiple farms into one Supabase project.</t>
        </is>
      </c>
    </row>
    <row r="14" ht="30" customHeight="1">
      <c r="A14" s="3" t="inlineStr">
        <is>
          <t xml:space="preserve">  domain      piggery | poultry | crops | shared — appears on every CORE tab so a query like 'feed cost split between pigs and chickens' is a one-line GROUP BY.</t>
        </is>
      </c>
    </row>
    <row r="15" ht="30" customHeight="1">
      <c r="A15" s="3" t="inlineStr">
        <is>
          <t xml:space="preserve">  batch_ref / batch_code   Links a cost, sale or health event back to a specific pig batch, poultry batch or crop planting for true per-batch profit and loss.</t>
        </is>
      </c>
    </row>
    <row r="16">
      <c r="A16" s="3" t="n"/>
    </row>
    <row r="17" ht="18" customHeight="1">
      <c r="A17" s="4" t="inlineStr">
        <is>
          <t>HOW TO READ EACH TAB</t>
        </is>
      </c>
    </row>
    <row r="18">
      <c r="A18" s="3" t="inlineStr">
        <is>
          <t xml:space="preserve">  Row 1: purpose, cadence and who enters it, in a small italic note.</t>
        </is>
      </c>
    </row>
    <row r="19">
      <c r="A19" s="3" t="inlineStr">
        <is>
          <t xml:space="preserve">  Row 2: the column headers. Hover a header with a small red corner for extra guidance.</t>
        </is>
      </c>
    </row>
    <row r="20">
      <c r="A20" s="3" t="inlineStr">
        <is>
          <t xml:space="preserve">  Row 3 (highlighted): a SAMPLE ROW showing the expected format — overwrite or delete it before real entry begins.</t>
        </is>
      </c>
    </row>
    <row r="21">
      <c r="A21" s="3" t="n"/>
    </row>
    <row r="22" ht="18" customHeight="1">
      <c r="A22" s="4" t="inlineStr">
        <is>
          <t>FORMULA CELLS</t>
        </is>
      </c>
    </row>
    <row r="23" ht="45" customHeight="1">
      <c r="A23" s="3" t="inlineStr">
        <is>
          <t xml:space="preserve">  A handful of fields (total_cost, total_amount, labour_cost, closing_count, age_days, expected_farrow_date, quantity_kg) are computed automatically. Copy the sample row's formula down the column as new rows are added — do not type over these cells with numbers.</t>
        </is>
      </c>
    </row>
    <row r="24">
      <c r="A24" s="3" t="n"/>
    </row>
    <row r="25" ht="18" customHeight="1">
      <c r="A25" s="4" t="inlineStr">
        <is>
          <t>DYNAMIC DROPDOWNS (batch_code, staff_code, sow_tag, plot_code, etc.)</t>
        </is>
      </c>
    </row>
    <row r="26" ht="60" customHeight="1">
      <c r="A26" s="3" t="inlineStr">
        <is>
          <t xml:space="preserve">  These are left as free text here because they grow as the farm operates (a new batch, a new staff member). Once this file is live in Google Sheets, turn each into a real dropdown: select the column &gt; Data &gt; Data validation &gt; 'Dropdown (from a range)' &gt; point it at the source column (e.g. batch_ref in P2_PIG_DAILY_LOG can point at batch_code in P1_PIG_BATCHES). Google Sheets keeps that range live as new batches are added — a static workbook like this one cannot.</t>
        </is>
      </c>
    </row>
    <row r="27">
      <c r="A27" s="3" t="n"/>
    </row>
    <row r="28" ht="18" customHeight="1">
      <c r="A28" s="4" t="inlineStr">
        <is>
          <t>NEXT STEPS ONCE LIVE IN GOOGLE SHEETS</t>
        </is>
      </c>
    </row>
    <row r="29" ht="30" customHeight="1">
      <c r="A29" s="3" t="inlineStr">
        <is>
          <t xml:space="preserve">  1. Add a 96_DAILY_ENTRY tab per domain — a stripped-down, single-screen form (8-12 cells) that a worker fills on a phone; an Apps Script trigger appends it into the real log tab.</t>
        </is>
      </c>
    </row>
    <row r="30" ht="30" customHeight="1">
      <c r="A30" s="3" t="inlineStr">
        <is>
          <t xml:space="preserve">  2. Add a 97_SYNC_STATUS tab — written by the Sheets-to-Supabase sync job, showing rows accepted/rejected per run, so staff can see and fix failed entries.</t>
        </is>
      </c>
    </row>
    <row r="31" ht="30" customHeight="1">
      <c r="A31" s="3" t="inlineStr">
        <is>
          <t xml:space="preserve">  3. Add a 98_BATCH_INDEX tab — an auto-generated list of every live batch/planting code, used as the source range for the batch_ref dropdowns above.</t>
        </is>
      </c>
    </row>
    <row r="32" ht="30" customHeight="1">
      <c r="A32" s="3" t="inlineStr">
        <is>
          <t xml:space="preserve">  4. Lock dropdown columns and protect formula columns (Data &gt; Protect sheets and ranges) once real staff start entering data.</t>
        </is>
      </c>
    </row>
    <row r="33">
      <c r="A33" s="3" t="n"/>
    </row>
    <row r="34" ht="18" customHeight="1">
      <c r="A34" s="4" t="inlineStr">
        <is>
          <t>ENTRY-BURDEN RULE OF THUMB</t>
        </is>
      </c>
    </row>
    <row r="35" ht="30" customHeight="1">
      <c r="A35" s="3" t="inlineStr">
        <is>
          <t xml:space="preserve">  A daily log should take under 90 seconds per pen/house. A weekly one, under 10 minutes. If a worker can't finish it in the field, it will stop being filled in within a month.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595959"/>
    <outlinePr summaryBelow="1" summaryRight="1"/>
    <pageSetUpPr/>
  </sheetPr>
  <dimension ref="A1:AN15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5"/>
  <cols>
    <col width="20" customWidth="1" min="1" max="40"/>
  </cols>
  <sheetData>
    <row r="1">
      <c r="A1" s="5" t="inlineStr">
        <is>
          <t>DOMAIN</t>
        </is>
      </c>
      <c r="B1" s="5" t="inlineStr">
        <is>
          <t>YESNO</t>
        </is>
      </c>
      <c r="C1" s="5" t="inlineStr">
        <is>
          <t>CURRENCY</t>
        </is>
      </c>
      <c r="D1" s="5" t="inlineStr">
        <is>
          <t>ROLE</t>
        </is>
      </c>
      <c r="E1" s="5" t="inlineStr">
        <is>
          <t>PAY_TYPE</t>
        </is>
      </c>
      <c r="F1" s="5" t="inlineStr">
        <is>
          <t>EXP_CATEGORY</t>
        </is>
      </c>
      <c r="G1" s="5" t="inlineStr">
        <is>
          <t>UNIT_GENERAL</t>
        </is>
      </c>
      <c r="H1" s="5" t="inlineStr">
        <is>
          <t>PAYMENT_METHOD</t>
        </is>
      </c>
      <c r="I1" s="5" t="inlineStr">
        <is>
          <t>PRODUCT</t>
        </is>
      </c>
      <c r="J1" s="5" t="inlineStr">
        <is>
          <t>UNIT_SALES</t>
        </is>
      </c>
      <c r="K1" s="5" t="inlineStr">
        <is>
          <t>CHANNEL</t>
        </is>
      </c>
      <c r="L1" s="5" t="inlineStr">
        <is>
          <t>PAYMENT_STATUS</t>
        </is>
      </c>
      <c r="M1" s="5" t="inlineStr">
        <is>
          <t>TASK</t>
        </is>
      </c>
      <c r="N1" s="5" t="inlineStr">
        <is>
          <t>WEATHER_EVENT</t>
        </is>
      </c>
      <c r="O1" s="5" t="inlineStr">
        <is>
          <t>FEED_TYPE</t>
        </is>
      </c>
      <c r="P1" s="5" t="inlineStr">
        <is>
          <t>HEALTH_EVENT</t>
        </is>
      </c>
      <c r="Q1" s="5" t="inlineStr">
        <is>
          <t>SYMPTOM</t>
        </is>
      </c>
      <c r="R1" s="5" t="inlineStr">
        <is>
          <t>OUTCOME</t>
        </is>
      </c>
      <c r="S1" s="5" t="inlineStr">
        <is>
          <t>BREED_PIG</t>
        </is>
      </c>
      <c r="T1" s="5" t="inlineStr">
        <is>
          <t>SOURCE</t>
        </is>
      </c>
      <c r="U1" s="5" t="inlineStr">
        <is>
          <t>STATUS_BATCH</t>
        </is>
      </c>
      <c r="V1" s="5" t="inlineStr">
        <is>
          <t>PEN_CONDITION</t>
        </is>
      </c>
      <c r="W1" s="5" t="inlineStr">
        <is>
          <t>SOW_STATUS</t>
        </is>
      </c>
      <c r="X1" s="5" t="inlineStr">
        <is>
          <t>SERVICE_TYPE</t>
        </is>
      </c>
      <c r="Y1" s="5" t="inlineStr">
        <is>
          <t>BIRD_TYPE</t>
        </is>
      </c>
      <c r="Z1" s="5" t="inlineStr">
        <is>
          <t>BREED_POULTRY</t>
        </is>
      </c>
      <c r="AA1" s="5" t="inlineStr">
        <is>
          <t>POULTRY_STATUS</t>
        </is>
      </c>
      <c r="AB1" s="5" t="inlineStr">
        <is>
          <t>LITTER_CONDITION</t>
        </is>
      </c>
      <c r="AC1" s="5" t="inlineStr">
        <is>
          <t>SOIL_TYPE</t>
        </is>
      </c>
      <c r="AD1" s="5" t="inlineStr">
        <is>
          <t>IRRIGATION_TYPE</t>
        </is>
      </c>
      <c r="AE1" s="5" t="inlineStr">
        <is>
          <t>CROP</t>
        </is>
      </c>
      <c r="AF1" s="5" t="inlineStr">
        <is>
          <t>SEASON</t>
        </is>
      </c>
      <c r="AG1" s="5" t="inlineStr">
        <is>
          <t>PLANTING_STATUS</t>
        </is>
      </c>
      <c r="AH1" s="5" t="inlineStr">
        <is>
          <t>OP_TYPE</t>
        </is>
      </c>
      <c r="AI1" s="5" t="inlineStr">
        <is>
          <t>UNIT_FIELD</t>
        </is>
      </c>
      <c r="AJ1" s="5" t="inlineStr">
        <is>
          <t>GROWTH_STAGE</t>
        </is>
      </c>
      <c r="AK1" s="5" t="inlineStr">
        <is>
          <t>ISSUE_TYPE</t>
        </is>
      </c>
      <c r="AL1" s="5" t="inlineStr">
        <is>
          <t>SOIL_MOISTURE</t>
        </is>
      </c>
      <c r="AM1" s="5" t="inlineStr">
        <is>
          <t>GRADE</t>
        </is>
      </c>
      <c r="AN1" s="5" t="inlineStr">
        <is>
          <t>STORAGE</t>
        </is>
      </c>
    </row>
    <row r="2">
      <c r="A2" t="inlineStr">
        <is>
          <t>piggery</t>
        </is>
      </c>
      <c r="B2" t="inlineStr">
        <is>
          <t>Yes</t>
        </is>
      </c>
      <c r="C2" t="inlineStr">
        <is>
          <t>USD</t>
        </is>
      </c>
      <c r="D2" t="inlineStr">
        <is>
          <t>Pig attendant</t>
        </is>
      </c>
      <c r="E2" t="inlineStr">
        <is>
          <t>Daily</t>
        </is>
      </c>
      <c r="F2" t="inlineStr">
        <is>
          <t>Feed</t>
        </is>
      </c>
      <c r="G2" t="inlineStr">
        <is>
          <t>kg</t>
        </is>
      </c>
      <c r="H2" t="inlineStr">
        <is>
          <t>Cash</t>
        </is>
      </c>
      <c r="I2" t="inlineStr">
        <is>
          <t>Live pig</t>
        </is>
      </c>
      <c r="J2" t="inlineStr">
        <is>
          <t>kg</t>
        </is>
      </c>
      <c r="K2" t="inlineStr">
        <is>
          <t>Farm gate</t>
        </is>
      </c>
      <c r="L2" t="inlineStr">
        <is>
          <t>Paid</t>
        </is>
      </c>
      <c r="M2" t="inlineStr">
        <is>
          <t>Feeding</t>
        </is>
      </c>
      <c r="N2" t="inlineStr">
        <is>
          <t>Normal</t>
        </is>
      </c>
      <c r="O2" t="inlineStr">
        <is>
          <t>Pig starter</t>
        </is>
      </c>
      <c r="P2" t="inlineStr">
        <is>
          <t>Treatment</t>
        </is>
      </c>
      <c r="Q2" t="inlineStr">
        <is>
          <t>Coughing</t>
        </is>
      </c>
      <c r="R2" t="inlineStr">
        <is>
          <t>Recovered</t>
        </is>
      </c>
      <c r="S2" t="inlineStr">
        <is>
          <t>Large White</t>
        </is>
      </c>
      <c r="T2" t="inlineStr">
        <is>
          <t>Own farrowing</t>
        </is>
      </c>
      <c r="U2" t="inlineStr">
        <is>
          <t>Active</t>
        </is>
      </c>
      <c r="V2" t="inlineStr">
        <is>
          <t>Dry</t>
        </is>
      </c>
      <c r="W2" t="inlineStr">
        <is>
          <t>Open</t>
        </is>
      </c>
      <c r="X2" t="inlineStr">
        <is>
          <t>Natural</t>
        </is>
      </c>
      <c r="Y2" t="inlineStr">
        <is>
          <t>Broiler</t>
        </is>
      </c>
      <c r="Z2" t="inlineStr">
        <is>
          <t>Ross 308</t>
        </is>
      </c>
      <c r="AA2" t="inlineStr">
        <is>
          <t>Brooding</t>
        </is>
      </c>
      <c r="AB2" t="inlineStr">
        <is>
          <t>Dry</t>
        </is>
      </c>
      <c r="AC2" t="inlineStr">
        <is>
          <t>Sandy</t>
        </is>
      </c>
      <c r="AD2" t="inlineStr">
        <is>
          <t>Rainfed</t>
        </is>
      </c>
      <c r="AE2" t="inlineStr">
        <is>
          <t>Maize</t>
        </is>
      </c>
      <c r="AF2" t="inlineStr">
        <is>
          <t>2025 Summer</t>
        </is>
      </c>
      <c r="AG2" t="inlineStr">
        <is>
          <t>Growing</t>
        </is>
      </c>
      <c r="AH2" t="inlineStr">
        <is>
          <t>Land prep</t>
        </is>
      </c>
      <c r="AI2" t="inlineStr">
        <is>
          <t>kg</t>
        </is>
      </c>
      <c r="AJ2" t="inlineStr">
        <is>
          <t>Emergence</t>
        </is>
      </c>
      <c r="AK2" t="inlineStr">
        <is>
          <t>Pest</t>
        </is>
      </c>
      <c r="AL2" t="inlineStr">
        <is>
          <t>Dry</t>
        </is>
      </c>
      <c r="AM2" t="inlineStr">
        <is>
          <t>A</t>
        </is>
      </c>
      <c r="AN2" t="inlineStr">
        <is>
          <t>Store room</t>
        </is>
      </c>
    </row>
    <row r="3">
      <c r="A3" t="inlineStr">
        <is>
          <t>poultry</t>
        </is>
      </c>
      <c r="B3" t="inlineStr">
        <is>
          <t>No</t>
        </is>
      </c>
      <c r="C3" t="inlineStr">
        <is>
          <t>ZWG</t>
        </is>
      </c>
      <c r="D3" t="inlineStr">
        <is>
          <t>Poultry attendant</t>
        </is>
      </c>
      <c r="E3" t="inlineStr">
        <is>
          <t>Monthly</t>
        </is>
      </c>
      <c r="F3" t="inlineStr">
        <is>
          <t>Day-old chicks</t>
        </is>
      </c>
      <c r="G3" t="inlineStr">
        <is>
          <t>bag</t>
        </is>
      </c>
      <c r="H3" t="inlineStr">
        <is>
          <t>EcoCash</t>
        </is>
      </c>
      <c r="I3" t="inlineStr">
        <is>
          <t>Pork carcass</t>
        </is>
      </c>
      <c r="J3" t="inlineStr">
        <is>
          <t>head</t>
        </is>
      </c>
      <c r="K3" t="inlineStr">
        <is>
          <t>Abattoir</t>
        </is>
      </c>
      <c r="L3" t="inlineStr">
        <is>
          <t>Partial</t>
        </is>
      </c>
      <c r="M3" t="inlineStr">
        <is>
          <t>Cleaning</t>
        </is>
      </c>
      <c r="N3" t="inlineStr">
        <is>
          <t>Heatwave</t>
        </is>
      </c>
      <c r="O3" t="inlineStr">
        <is>
          <t>Pig grower</t>
        </is>
      </c>
      <c r="P3" t="inlineStr">
        <is>
          <t>Vaccination</t>
        </is>
      </c>
      <c r="Q3" t="inlineStr">
        <is>
          <t>Diarrhoea</t>
        </is>
      </c>
      <c r="R3" t="inlineStr">
        <is>
          <t>Died</t>
        </is>
      </c>
      <c r="S3" t="inlineStr">
        <is>
          <t>Landrace</t>
        </is>
      </c>
      <c r="T3" t="inlineStr">
        <is>
          <t>Bought-in</t>
        </is>
      </c>
      <c r="U3" t="inlineStr">
        <is>
          <t>Sold</t>
        </is>
      </c>
      <c r="V3" t="inlineStr">
        <is>
          <t>Damp</t>
        </is>
      </c>
      <c r="W3" t="inlineStr">
        <is>
          <t>Served</t>
        </is>
      </c>
      <c r="X3" t="inlineStr">
        <is>
          <t>AI</t>
        </is>
      </c>
      <c r="Y3" t="inlineStr">
        <is>
          <t>Layer</t>
        </is>
      </c>
      <c r="Z3" t="inlineStr">
        <is>
          <t>Cobb 500</t>
        </is>
      </c>
      <c r="AA3" t="inlineStr">
        <is>
          <t>Growing</t>
        </is>
      </c>
      <c r="AB3" t="inlineStr">
        <is>
          <t>Damp</t>
        </is>
      </c>
      <c r="AC3" t="inlineStr">
        <is>
          <t>Sandy loam</t>
        </is>
      </c>
      <c r="AD3" t="inlineStr">
        <is>
          <t>Drip</t>
        </is>
      </c>
      <c r="AE3" t="inlineStr">
        <is>
          <t>Soyabean</t>
        </is>
      </c>
      <c r="AF3" t="inlineStr">
        <is>
          <t>2025 Winter</t>
        </is>
      </c>
      <c r="AG3" t="inlineStr">
        <is>
          <t>Harvested</t>
        </is>
      </c>
      <c r="AH3" t="inlineStr">
        <is>
          <t>Planting</t>
        </is>
      </c>
      <c r="AI3" t="inlineStr">
        <is>
          <t>litre</t>
        </is>
      </c>
      <c r="AJ3" t="inlineStr">
        <is>
          <t>V6</t>
        </is>
      </c>
      <c r="AK3" t="inlineStr">
        <is>
          <t>Disease</t>
        </is>
      </c>
      <c r="AL3" t="inlineStr">
        <is>
          <t>Moist</t>
        </is>
      </c>
      <c r="AM3" t="inlineStr">
        <is>
          <t>B</t>
        </is>
      </c>
      <c r="AN3" t="inlineStr">
        <is>
          <t>Silo 1</t>
        </is>
      </c>
    </row>
    <row r="4">
      <c r="A4" t="inlineStr">
        <is>
          <t>crops</t>
        </is>
      </c>
      <c r="D4" t="inlineStr">
        <is>
          <t>Field hand</t>
        </is>
      </c>
      <c r="E4" t="inlineStr">
        <is>
          <t>Piece-rate</t>
        </is>
      </c>
      <c r="F4" t="inlineStr">
        <is>
          <t>Weaners</t>
        </is>
      </c>
      <c r="G4" t="inlineStr">
        <is>
          <t>litre</t>
        </is>
      </c>
      <c r="H4" t="inlineStr">
        <is>
          <t>Bank</t>
        </is>
      </c>
      <c r="I4" t="inlineStr">
        <is>
          <t>Weaner</t>
        </is>
      </c>
      <c r="J4" t="inlineStr">
        <is>
          <t>tray</t>
        </is>
      </c>
      <c r="K4" t="inlineStr">
        <is>
          <t>Contract</t>
        </is>
      </c>
      <c r="L4" t="inlineStr">
        <is>
          <t>Owing</t>
        </is>
      </c>
      <c r="M4" t="inlineStr">
        <is>
          <t>Weighing</t>
        </is>
      </c>
      <c r="N4" t="inlineStr">
        <is>
          <t>Hailstorm</t>
        </is>
      </c>
      <c r="O4" t="inlineStr">
        <is>
          <t>Pig finisher</t>
        </is>
      </c>
      <c r="P4" t="inlineStr">
        <is>
          <t>Inspection</t>
        </is>
      </c>
      <c r="Q4" t="inlineStr">
        <is>
          <t>Lameness</t>
        </is>
      </c>
      <c r="R4" t="inlineStr">
        <is>
          <t>Culled</t>
        </is>
      </c>
      <c r="S4" t="inlineStr">
        <is>
          <t>Duroc cross</t>
        </is>
      </c>
      <c r="U4" t="inlineStr">
        <is>
          <t>Closed</t>
        </is>
      </c>
      <c r="V4" t="inlineStr">
        <is>
          <t>Wet</t>
        </is>
      </c>
      <c r="W4" t="inlineStr">
        <is>
          <t>Pregnant</t>
        </is>
      </c>
      <c r="Z4" t="inlineStr">
        <is>
          <t>Hy-Line Brown</t>
        </is>
      </c>
      <c r="AA4" t="inlineStr">
        <is>
          <t>Laying</t>
        </is>
      </c>
      <c r="AB4" t="inlineStr">
        <is>
          <t>Caked</t>
        </is>
      </c>
      <c r="AC4" t="inlineStr">
        <is>
          <t>Clay loam</t>
        </is>
      </c>
      <c r="AD4" t="inlineStr">
        <is>
          <t>Sprinkler</t>
        </is>
      </c>
      <c r="AE4" t="inlineStr">
        <is>
          <t>Groundnuts</t>
        </is>
      </c>
      <c r="AF4" t="inlineStr">
        <is>
          <t>2026 Summer</t>
        </is>
      </c>
      <c r="AG4" t="inlineStr">
        <is>
          <t>Failed</t>
        </is>
      </c>
      <c r="AH4" t="inlineStr">
        <is>
          <t>Basal fert</t>
        </is>
      </c>
      <c r="AI4" t="inlineStr">
        <is>
          <t>ml</t>
        </is>
      </c>
      <c r="AJ4" t="inlineStr">
        <is>
          <t>Tasselling</t>
        </is>
      </c>
      <c r="AK4" t="inlineStr">
        <is>
          <t>Weed</t>
        </is>
      </c>
      <c r="AL4" t="inlineStr">
        <is>
          <t>Wet</t>
        </is>
      </c>
      <c r="AM4" t="inlineStr">
        <is>
          <t>C</t>
        </is>
      </c>
      <c r="AN4" t="inlineStr">
        <is>
          <t>Silo 2</t>
        </is>
      </c>
    </row>
    <row r="5">
      <c r="A5" t="inlineStr">
        <is>
          <t>shared</t>
        </is>
      </c>
      <c r="D5" t="inlineStr">
        <is>
          <t>Supervisor</t>
        </is>
      </c>
      <c r="F5" t="inlineStr">
        <is>
          <t>Vet &amp; Meds</t>
        </is>
      </c>
      <c r="G5" t="inlineStr">
        <is>
          <t>head</t>
        </is>
      </c>
      <c r="H5" t="inlineStr">
        <is>
          <t>Credit</t>
        </is>
      </c>
      <c r="I5" t="inlineStr">
        <is>
          <t>Live broiler</t>
        </is>
      </c>
      <c r="J5" t="inlineStr">
        <is>
          <t>bag</t>
        </is>
      </c>
      <c r="K5" t="inlineStr">
        <is>
          <t>Market</t>
        </is>
      </c>
      <c r="M5" t="inlineStr">
        <is>
          <t>Vaccination</t>
        </is>
      </c>
      <c r="N5" t="inlineStr">
        <is>
          <t>Power cut</t>
        </is>
      </c>
      <c r="O5" t="inlineStr">
        <is>
          <t>Sow &amp; weaner meal</t>
        </is>
      </c>
      <c r="Q5" t="inlineStr">
        <is>
          <t>Off-feed</t>
        </is>
      </c>
      <c r="R5" t="inlineStr">
        <is>
          <t>Ongoing</t>
        </is>
      </c>
      <c r="V5" t="inlineStr">
        <is>
          <t>Dirty</t>
        </is>
      </c>
      <c r="W5" t="inlineStr">
        <is>
          <t>Lactating</t>
        </is>
      </c>
      <c r="Z5" t="inlineStr">
        <is>
          <t>Boschveld</t>
        </is>
      </c>
      <c r="AA5" t="inlineStr">
        <is>
          <t>Sold</t>
        </is>
      </c>
      <c r="AB5" t="inlineStr">
        <is>
          <t>Wet</t>
        </is>
      </c>
      <c r="AC5" t="inlineStr">
        <is>
          <t>Red clay</t>
        </is>
      </c>
      <c r="AD5" t="inlineStr">
        <is>
          <t>Flood</t>
        </is>
      </c>
      <c r="AE5" t="inlineStr">
        <is>
          <t>Tomatoes</t>
        </is>
      </c>
      <c r="AF5" t="inlineStr">
        <is>
          <t>2026 Winter</t>
        </is>
      </c>
      <c r="AH5" t="inlineStr">
        <is>
          <t>Top dressing</t>
        </is>
      </c>
      <c r="AI5" t="inlineStr">
        <is>
          <t>bag</t>
        </is>
      </c>
      <c r="AJ5" t="inlineStr">
        <is>
          <t>Silking</t>
        </is>
      </c>
      <c r="AK5" t="inlineStr">
        <is>
          <t>Nutrient</t>
        </is>
      </c>
      <c r="AM5" t="inlineStr">
        <is>
          <t>Reject</t>
        </is>
      </c>
      <c r="AN5" t="inlineStr">
        <is>
          <t>Sold direct</t>
        </is>
      </c>
    </row>
    <row r="6">
      <c r="D6" t="inlineStr">
        <is>
          <t>Casual</t>
        </is>
      </c>
      <c r="F6" t="inlineStr">
        <is>
          <t>Seed</t>
        </is>
      </c>
      <c r="G6" t="inlineStr">
        <is>
          <t>dose</t>
        </is>
      </c>
      <c r="I6" t="inlineStr">
        <is>
          <t>Dressed chicken</t>
        </is>
      </c>
      <c r="J6" t="inlineStr">
        <is>
          <t>crate</t>
        </is>
      </c>
      <c r="K6" t="inlineStr">
        <is>
          <t>Retail</t>
        </is>
      </c>
      <c r="M6" t="inlineStr">
        <is>
          <t>Land prep</t>
        </is>
      </c>
      <c r="N6" t="inlineStr">
        <is>
          <t>Frost</t>
        </is>
      </c>
      <c r="O6" t="inlineStr">
        <is>
          <t>Broiler starter</t>
        </is>
      </c>
      <c r="Q6" t="inlineStr">
        <is>
          <t>Sneezing</t>
        </is>
      </c>
      <c r="W6" t="inlineStr">
        <is>
          <t>Culled</t>
        </is>
      </c>
      <c r="AA6" t="inlineStr">
        <is>
          <t>Closed</t>
        </is>
      </c>
      <c r="AE6" t="inlineStr">
        <is>
          <t>Cabbage</t>
        </is>
      </c>
      <c r="AH6" t="inlineStr">
        <is>
          <t>Herbicide</t>
        </is>
      </c>
      <c r="AJ6" t="inlineStr">
        <is>
          <t>Grain fill</t>
        </is>
      </c>
      <c r="AK6" t="inlineStr">
        <is>
          <t>None</t>
        </is>
      </c>
    </row>
    <row r="7">
      <c r="F7" t="inlineStr">
        <is>
          <t>Fertiliser</t>
        </is>
      </c>
      <c r="G7" t="inlineStr">
        <is>
          <t>trip</t>
        </is>
      </c>
      <c r="I7" t="inlineStr">
        <is>
          <t>Table eggs</t>
        </is>
      </c>
      <c r="M7" t="inlineStr">
        <is>
          <t>Weeding</t>
        </is>
      </c>
      <c r="N7" t="inlineStr">
        <is>
          <t>Storm damage</t>
        </is>
      </c>
      <c r="O7" t="inlineStr">
        <is>
          <t>Broiler grower</t>
        </is>
      </c>
      <c r="Q7" t="inlineStr">
        <is>
          <t>Drop in lay</t>
        </is>
      </c>
      <c r="AE7" t="inlineStr">
        <is>
          <t>Sugar beans</t>
        </is>
      </c>
      <c r="AH7" t="inlineStr">
        <is>
          <t>Pesticide</t>
        </is>
      </c>
      <c r="AJ7" t="inlineStr">
        <is>
          <t>Maturity</t>
        </is>
      </c>
    </row>
    <row r="8">
      <c r="F8" t="inlineStr">
        <is>
          <t>Chemicals</t>
        </is>
      </c>
      <c r="G8" t="inlineStr">
        <is>
          <t>hour</t>
        </is>
      </c>
      <c r="I8" t="inlineStr">
        <is>
          <t>Maize grain</t>
        </is>
      </c>
      <c r="M8" t="inlineStr">
        <is>
          <t>Spraying</t>
        </is>
      </c>
      <c r="O8" t="inlineStr">
        <is>
          <t>Broiler finisher</t>
        </is>
      </c>
      <c r="Q8" t="inlineStr">
        <is>
          <t>None</t>
        </is>
      </c>
      <c r="AH8" t="inlineStr">
        <is>
          <t>Fungicide</t>
        </is>
      </c>
    </row>
    <row r="9">
      <c r="F9" t="inlineStr">
        <is>
          <t>Fuel</t>
        </is>
      </c>
      <c r="I9" t="inlineStr">
        <is>
          <t>Soya</t>
        </is>
      </c>
      <c r="M9" t="inlineStr">
        <is>
          <t>Harvest</t>
        </is>
      </c>
      <c r="O9" t="inlineStr">
        <is>
          <t>Layer mash</t>
        </is>
      </c>
      <c r="AH9" t="inlineStr">
        <is>
          <t>Weeding</t>
        </is>
      </c>
    </row>
    <row r="10">
      <c r="F10" t="inlineStr">
        <is>
          <t>Electricity</t>
        </is>
      </c>
      <c r="I10" t="inlineStr">
        <is>
          <t>Tomatoes</t>
        </is>
      </c>
      <c r="M10" t="inlineStr">
        <is>
          <t>Marketing</t>
        </is>
      </c>
      <c r="O10" t="inlineStr">
        <is>
          <t>Chick mash</t>
        </is>
      </c>
      <c r="AH10" t="inlineStr">
        <is>
          <t>Irrigation</t>
        </is>
      </c>
    </row>
    <row r="11">
      <c r="F11" t="inlineStr">
        <is>
          <t>Water</t>
        </is>
      </c>
      <c r="M11" t="inlineStr">
        <is>
          <t>Maintenance</t>
        </is>
      </c>
      <c r="O11" t="inlineStr">
        <is>
          <t>Maize bran</t>
        </is>
      </c>
      <c r="AH11" t="inlineStr">
        <is>
          <t>Other</t>
        </is>
      </c>
    </row>
    <row r="12">
      <c r="F12" t="inlineStr">
        <is>
          <t>Repairs</t>
        </is>
      </c>
      <c r="O12" t="inlineStr">
        <is>
          <t>Concentrate</t>
        </is>
      </c>
    </row>
    <row r="13">
      <c r="F13" t="inlineStr">
        <is>
          <t>Transport</t>
        </is>
      </c>
    </row>
    <row r="14">
      <c r="F14" t="inlineStr">
        <is>
          <t>Labour (contract)</t>
        </is>
      </c>
    </row>
    <row r="15">
      <c r="F15" t="inlineStr">
        <is>
          <t>Other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2F5597"/>
    <outlinePr summaryBelow="1" summaryRight="1"/>
    <pageSetUpPr/>
  </sheetPr>
  <dimension ref="A1:I3"/>
  <sheetViews>
    <sheetView zoomScaleNormal="100" workbookViewId="0">
      <pane ySplit="2" topLeftCell="A3" activePane="bottomLeft" state="frozen"/>
      <selection pane="bottomLeft" activeCell="A1" sqref="A1:I1"/>
    </sheetView>
  </sheetViews>
  <sheetFormatPr baseColWidth="10" defaultColWidth="8.6640625" defaultRowHeight="15"/>
  <cols>
    <col width="14" customWidth="1" min="1" max="2"/>
    <col width="19" customWidth="1" min="3" max="3"/>
    <col width="14" customWidth="1" min="4" max="4"/>
    <col width="18" customWidth="1" min="5" max="5"/>
    <col width="25" customWidth="1" min="6" max="7"/>
    <col width="23" customWidth="1" min="8" max="8"/>
    <col width="24" customWidth="1" min="9" max="9"/>
  </cols>
  <sheetData>
    <row r="1">
      <c r="A1" s="1" t="inlineStr">
        <is>
          <t>PURPOSE: Declares which modules are ACTIVE. The chatbot reads this first and refuses to answer for modules that are off.   |   CADENCE: Once at onboarding, reviewed quarterly   |   ENTERED BY: Farm owner / Netrisyl onboarding</t>
        </is>
      </c>
    </row>
    <row r="2">
      <c r="A2" s="6" t="inlineStr">
        <is>
          <t>farm_code</t>
        </is>
      </c>
      <c r="B2" s="6" t="inlineStr">
        <is>
          <t>farm_name</t>
        </is>
      </c>
      <c r="C2" s="6" t="inlineStr">
        <is>
          <t>region_district</t>
        </is>
      </c>
      <c r="D2" s="6" t="inlineStr">
        <is>
          <t>currency</t>
        </is>
      </c>
      <c r="E2" s="6" t="inlineStr">
        <is>
          <t>total_hectares</t>
        </is>
      </c>
      <c r="F2" s="6" t="inlineStr">
        <is>
          <t>module_piggery_active</t>
        </is>
      </c>
      <c r="G2" s="6" t="inlineStr">
        <is>
          <t>module_poultry_active</t>
        </is>
      </c>
      <c r="H2" s="6" t="inlineStr">
        <is>
          <t>module_crops_active</t>
        </is>
      </c>
      <c r="I2" s="6" t="inlineStr">
        <is>
          <t>financial_year_start</t>
        </is>
      </c>
    </row>
    <row r="3">
      <c r="A3" s="7" t="inlineStr">
        <is>
          <t>NIS-001</t>
        </is>
      </c>
      <c r="B3" s="7" t="inlineStr">
        <is>
          <t>Chiedza Mixed Farm</t>
        </is>
      </c>
      <c r="C3" s="7" t="inlineStr">
        <is>
          <t>Goromonzi, Mashonaland East</t>
        </is>
      </c>
      <c r="D3" s="7" t="inlineStr">
        <is>
          <t>USD</t>
        </is>
      </c>
      <c r="E3" s="7" t="n">
        <v>45</v>
      </c>
      <c r="F3" s="7" t="inlineStr">
        <is>
          <t>Yes</t>
        </is>
      </c>
      <c r="G3" s="7" t="inlineStr">
        <is>
          <t>Yes</t>
        </is>
      </c>
      <c r="H3" s="7" t="inlineStr">
        <is>
          <t>Yes</t>
        </is>
      </c>
      <c r="I3" s="8" t="inlineStr">
        <is>
          <t>2026-01-01</t>
        </is>
      </c>
    </row>
  </sheetData>
  <mergeCells count="1">
    <mergeCell ref="A1:I1"/>
  </mergeCells>
  <dataValidations count="2">
    <dataValidation sqref="D3:D500" showDropDown="0" showInputMessage="0" showErrorMessage="1" allowBlank="1" errorTitle="Invalid entry" error="Please choose a value from the list." type="list">
      <formula1>LIST_CURRENCY</formula1>
      <formula2>0</formula2>
    </dataValidation>
    <dataValidation sqref="F3:H500" showDropDown="0" showInputMessage="0" showErrorMessage="0" allowBlank="1" type="list">
      <formula1>LIST_YESNO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2F5597"/>
    <outlinePr summaryBelow="1" summaryRight="1"/>
    <pageSetUpPr/>
  </sheetPr>
  <dimension ref="A1:G6"/>
  <sheetViews>
    <sheetView zoomScaleNormal="100" workbookViewId="0">
      <pane ySplit="2" topLeftCell="A3" activePane="bottomLeft" state="frozen"/>
      <selection pane="bottomLeft" activeCell="A1" sqref="A1:G1"/>
    </sheetView>
  </sheetViews>
  <sheetFormatPr baseColWidth="10" defaultColWidth="8.6640625" defaultRowHeight="15"/>
  <cols>
    <col width="14" customWidth="1" min="1" max="3"/>
    <col width="18" customWidth="1" min="4" max="4"/>
    <col width="14" customWidth="1" min="5" max="7"/>
  </cols>
  <sheetData>
    <row r="1">
      <c r="A1" s="1" t="inlineStr">
        <is>
          <t>PURPOSE: Turns initials scribbled on a paper log into a costable labour record.   |   CADENCE: On hire / change   |   ENTERED BY: Owner or supervisor</t>
        </is>
      </c>
    </row>
    <row r="2">
      <c r="A2" s="6" t="inlineStr">
        <is>
          <t>staff_code</t>
        </is>
      </c>
      <c r="B2" s="6" t="inlineStr">
        <is>
          <t>full_name</t>
        </is>
      </c>
      <c r="C2" s="6" t="inlineStr">
        <is>
          <t>role</t>
        </is>
      </c>
      <c r="D2" s="6" t="inlineStr">
        <is>
          <t>primary_domain</t>
        </is>
      </c>
      <c r="E2" s="6" t="inlineStr">
        <is>
          <t>pay_type</t>
        </is>
      </c>
      <c r="F2" s="6" t="inlineStr">
        <is>
          <t>rate</t>
        </is>
      </c>
      <c r="G2" s="6" t="inlineStr">
        <is>
          <t>active</t>
        </is>
      </c>
    </row>
    <row r="3">
      <c r="A3" s="7" t="inlineStr">
        <is>
          <t>S01</t>
        </is>
      </c>
      <c r="B3" s="7" t="inlineStr">
        <is>
          <t>Tendai Moyo</t>
        </is>
      </c>
      <c r="C3" s="7" t="inlineStr">
        <is>
          <t>Pig attendant</t>
        </is>
      </c>
      <c r="D3" s="7" t="inlineStr">
        <is>
          <t>piggery</t>
        </is>
      </c>
      <c r="E3" s="7" t="inlineStr">
        <is>
          <t>Daily</t>
        </is>
      </c>
      <c r="F3" s="7" t="n">
        <v>12</v>
      </c>
      <c r="G3" s="7" t="inlineStr">
        <is>
          <t>Yes</t>
        </is>
      </c>
    </row>
    <row r="4">
      <c r="A4" t="inlineStr">
        <is>
          <t>S02</t>
        </is>
      </c>
      <c r="B4" t="inlineStr">
        <is>
          <t>Blessing Chikafu</t>
        </is>
      </c>
      <c r="C4" t="inlineStr">
        <is>
          <t>Poultry attendant</t>
        </is>
      </c>
      <c r="D4" t="inlineStr">
        <is>
          <t>poultry</t>
        </is>
      </c>
      <c r="E4" t="inlineStr">
        <is>
          <t>Daily</t>
        </is>
      </c>
      <c r="F4" t="n">
        <v>11</v>
      </c>
      <c r="G4" t="inlineStr">
        <is>
          <t>Yes</t>
        </is>
      </c>
    </row>
    <row r="5">
      <c r="A5" t="inlineStr">
        <is>
          <t>S03</t>
        </is>
      </c>
      <c r="B5" t="inlineStr">
        <is>
          <t>Farai Gumbo</t>
        </is>
      </c>
      <c r="C5" t="inlineStr">
        <is>
          <t>Field hand</t>
        </is>
      </c>
      <c r="D5" t="inlineStr">
        <is>
          <t>crops</t>
        </is>
      </c>
      <c r="E5" t="inlineStr">
        <is>
          <t>Piece-rate</t>
        </is>
      </c>
      <c r="F5" t="n">
        <v>8</v>
      </c>
      <c r="G5" t="inlineStr">
        <is>
          <t>Yes</t>
        </is>
      </c>
    </row>
    <row r="6">
      <c r="A6" t="inlineStr">
        <is>
          <t>S04</t>
        </is>
      </c>
      <c r="B6" t="inlineStr">
        <is>
          <t>Rudo Mutasa</t>
        </is>
      </c>
      <c r="C6" t="inlineStr">
        <is>
          <t>Supervisor</t>
        </is>
      </c>
      <c r="D6" t="inlineStr">
        <is>
          <t>shared</t>
        </is>
      </c>
      <c r="E6" t="inlineStr">
        <is>
          <t>Monthly</t>
        </is>
      </c>
      <c r="F6" t="n">
        <v>450</v>
      </c>
      <c r="G6" t="inlineStr">
        <is>
          <t>Yes</t>
        </is>
      </c>
    </row>
  </sheetData>
  <mergeCells count="1">
    <mergeCell ref="A1:G1"/>
  </mergeCells>
  <dataValidations count="4">
    <dataValidation sqref="C3:C500" showDropDown="0" showInputMessage="0" showErrorMessage="1" allowBlank="1" errorTitle="Invalid entry" error="Please choose a value from the list." type="list">
      <formula1>LIST_ROLE</formula1>
      <formula2>0</formula2>
    </dataValidation>
    <dataValidation sqref="D3:D500" showDropDown="0" showInputMessage="0" showErrorMessage="1" allowBlank="1" errorTitle="Invalid entry" error="Please choose a value from the list." type="list">
      <formula1>LIST_DOMAIN</formula1>
      <formula2>0</formula2>
    </dataValidation>
    <dataValidation sqref="E3:E500" showDropDown="0" showInputMessage="0" showErrorMessage="1" allowBlank="1" errorTitle="Invalid entry" error="Please choose a value from the list." type="list">
      <formula1>LIST_PAY_TYPE</formula1>
      <formula2>0</formula2>
    </dataValidation>
    <dataValidation sqref="G3:G500" showDropDown="0" showInputMessage="0" showErrorMessage="0" allowBlank="1" type="list">
      <formula1>LIST_YESNO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2F5597"/>
    <outlinePr summaryBelow="1" summaryRight="1"/>
    <pageSetUpPr/>
  </sheetPr>
  <dimension ref="A1:M146"/>
  <sheetViews>
    <sheetView zoomScaleNormal="100" workbookViewId="0">
      <pane ySplit="2" topLeftCell="A3" activePane="bottomLeft" state="frozen"/>
      <selection pane="bottomLeft" activeCell="A1" sqref="A1:M1"/>
    </sheetView>
  </sheetViews>
  <sheetFormatPr baseColWidth="10" defaultColWidth="8.6640625" defaultRowHeight="15"/>
  <cols>
    <col width="14" customWidth="1" min="1" max="9"/>
    <col width="18" customWidth="1" min="10" max="10"/>
    <col width="14" customWidth="1" min="11" max="11"/>
    <col width="19" customWidth="1" min="12" max="12"/>
    <col width="15" customWidth="1" min="13" max="13"/>
  </cols>
  <sheetData>
    <row r="1">
      <c r="A1" s="1" t="inlineStr">
        <is>
          <t>PURPOSE: The single money-out ledger for all three domains. The domain column is what makes cross-domain cost questions possible.   |   CADENCE: Every purchase, same day   |   ENTERED BY: Owner / bookkeeper (from receipts)</t>
        </is>
      </c>
    </row>
    <row r="2">
      <c r="A2" s="6" t="inlineStr">
        <is>
          <t>date</t>
        </is>
      </c>
      <c r="B2" s="6" t="inlineStr">
        <is>
          <t>domain</t>
        </is>
      </c>
      <c r="C2" s="6" t="inlineStr">
        <is>
          <t>category</t>
        </is>
      </c>
      <c r="D2" s="6" t="inlineStr">
        <is>
          <t>item</t>
        </is>
      </c>
      <c r="E2" s="6" t="inlineStr">
        <is>
          <t>quantity</t>
        </is>
      </c>
      <c r="F2" s="6" t="inlineStr">
        <is>
          <t>unit</t>
        </is>
      </c>
      <c r="G2" s="6" t="inlineStr">
        <is>
          <t>unit_cost</t>
        </is>
      </c>
      <c r="H2" s="6" t="inlineStr">
        <is>
          <t>total_cost</t>
        </is>
      </c>
      <c r="I2" s="6" t="inlineStr">
        <is>
          <t>supplier</t>
        </is>
      </c>
      <c r="J2" s="6" t="inlineStr">
        <is>
          <t>payment_method</t>
        </is>
      </c>
      <c r="K2" s="6" t="inlineStr">
        <is>
          <t>batch_ref</t>
        </is>
      </c>
      <c r="L2" s="6" t="inlineStr">
        <is>
          <t>allocation_note</t>
        </is>
      </c>
      <c r="M2" s="6" t="inlineStr">
        <is>
          <t>recorded_by</t>
        </is>
      </c>
    </row>
    <row r="3">
      <c r="A3" s="8" t="inlineStr">
        <is>
          <t>2026-09-01</t>
        </is>
      </c>
      <c r="B3" s="7" t="inlineStr">
        <is>
          <t>poultry</t>
        </is>
      </c>
      <c r="C3" s="7" t="inlineStr">
        <is>
          <t>Feed</t>
        </is>
      </c>
      <c r="D3" s="7" t="inlineStr">
        <is>
          <t>Broiler starter 50kg</t>
        </is>
      </c>
      <c r="E3" s="7" t="n">
        <v>10</v>
      </c>
      <c r="F3" s="7" t="inlineStr">
        <is>
          <t>bag</t>
        </is>
      </c>
      <c r="G3" s="7" t="n">
        <v>34</v>
      </c>
      <c r="H3" s="7">
        <f>E3*G3</f>
        <v/>
      </c>
      <c r="I3" s="7" t="inlineStr">
        <is>
          <t>Profeeds Marondera</t>
        </is>
      </c>
      <c r="J3" s="7" t="inlineStr">
        <is>
          <t>EcoCash</t>
        </is>
      </c>
      <c r="K3" s="7" t="inlineStr">
        <is>
          <t>BRO-24</t>
        </is>
      </c>
      <c r="L3" s="7" t="n"/>
      <c r="M3" s="7" t="inlineStr">
        <is>
          <t>S01</t>
        </is>
      </c>
    </row>
    <row r="4">
      <c r="A4" t="inlineStr">
        <is>
          <t>2025-10-27</t>
        </is>
      </c>
      <c r="B4" t="inlineStr">
        <is>
          <t>piggery</t>
        </is>
      </c>
      <c r="C4" t="inlineStr">
        <is>
          <t>Feed</t>
        </is>
      </c>
      <c r="D4" t="inlineStr">
        <is>
          <t>Pig grower 50kg</t>
        </is>
      </c>
      <c r="E4" t="n">
        <v>5</v>
      </c>
      <c r="F4" t="inlineStr">
        <is>
          <t>bag</t>
        </is>
      </c>
      <c r="G4" t="n">
        <v>34</v>
      </c>
      <c r="H4">
        <f>E4*G4</f>
        <v/>
      </c>
      <c r="I4" t="inlineStr">
        <is>
          <t>Profeeds Marondera</t>
        </is>
      </c>
      <c r="J4" t="inlineStr">
        <is>
          <t>EcoCash</t>
        </is>
      </c>
      <c r="M4" t="inlineStr">
        <is>
          <t>S04</t>
        </is>
      </c>
    </row>
    <row r="5">
      <c r="A5" t="inlineStr">
        <is>
          <t>2025-11-03</t>
        </is>
      </c>
      <c r="B5" t="inlineStr">
        <is>
          <t>piggery</t>
        </is>
      </c>
      <c r="C5" t="inlineStr">
        <is>
          <t>Feed</t>
        </is>
      </c>
      <c r="D5" t="inlineStr">
        <is>
          <t>Pig grower 50kg</t>
        </is>
      </c>
      <c r="E5" t="n">
        <v>5</v>
      </c>
      <c r="F5" t="inlineStr">
        <is>
          <t>bag</t>
        </is>
      </c>
      <c r="G5" t="n">
        <v>34</v>
      </c>
      <c r="H5">
        <f>E5*G5</f>
        <v/>
      </c>
      <c r="I5" t="inlineStr">
        <is>
          <t>Profeeds Marondera</t>
        </is>
      </c>
      <c r="J5" t="inlineStr">
        <is>
          <t>Cash</t>
        </is>
      </c>
      <c r="M5" t="inlineStr">
        <is>
          <t>S02</t>
        </is>
      </c>
    </row>
    <row r="6">
      <c r="A6" t="inlineStr">
        <is>
          <t>2025-11-10</t>
        </is>
      </c>
      <c r="B6" t="inlineStr">
        <is>
          <t>piggery</t>
        </is>
      </c>
      <c r="C6" t="inlineStr">
        <is>
          <t>Feed</t>
        </is>
      </c>
      <c r="D6" t="inlineStr">
        <is>
          <t>Pig grower 50kg</t>
        </is>
      </c>
      <c r="E6" t="n">
        <v>5</v>
      </c>
      <c r="F6" t="inlineStr">
        <is>
          <t>bag</t>
        </is>
      </c>
      <c r="G6" t="n">
        <v>34</v>
      </c>
      <c r="H6">
        <f>E6*G6</f>
        <v/>
      </c>
      <c r="I6" t="inlineStr">
        <is>
          <t>Profeeds Marondera</t>
        </is>
      </c>
      <c r="J6" t="inlineStr">
        <is>
          <t>EcoCash</t>
        </is>
      </c>
      <c r="M6" t="inlineStr">
        <is>
          <t>S02</t>
        </is>
      </c>
    </row>
    <row r="7">
      <c r="A7" t="inlineStr">
        <is>
          <t>2025-11-17</t>
        </is>
      </c>
      <c r="B7" t="inlineStr">
        <is>
          <t>piggery</t>
        </is>
      </c>
      <c r="C7" t="inlineStr">
        <is>
          <t>Feed</t>
        </is>
      </c>
      <c r="D7" t="inlineStr">
        <is>
          <t>Pig grower 50kg</t>
        </is>
      </c>
      <c r="E7" t="n">
        <v>5</v>
      </c>
      <c r="F7" t="inlineStr">
        <is>
          <t>bag</t>
        </is>
      </c>
      <c r="G7" t="n">
        <v>34</v>
      </c>
      <c r="H7">
        <f>E7*G7</f>
        <v/>
      </c>
      <c r="I7" t="inlineStr">
        <is>
          <t>Profeeds Marondera</t>
        </is>
      </c>
      <c r="J7" t="inlineStr">
        <is>
          <t>Cash</t>
        </is>
      </c>
      <c r="M7" t="inlineStr">
        <is>
          <t>S01</t>
        </is>
      </c>
    </row>
    <row r="8">
      <c r="A8" t="inlineStr">
        <is>
          <t>2025-11-24</t>
        </is>
      </c>
      <c r="B8" t="inlineStr">
        <is>
          <t>piggery</t>
        </is>
      </c>
      <c r="C8" t="inlineStr">
        <is>
          <t>Feed</t>
        </is>
      </c>
      <c r="D8" t="inlineStr">
        <is>
          <t>Pig grower 50kg</t>
        </is>
      </c>
      <c r="E8" t="n">
        <v>5</v>
      </c>
      <c r="F8" t="inlineStr">
        <is>
          <t>bag</t>
        </is>
      </c>
      <c r="G8" t="n">
        <v>34</v>
      </c>
      <c r="H8">
        <f>E8*G8</f>
        <v/>
      </c>
      <c r="I8" t="inlineStr">
        <is>
          <t>Profeeds Marondera</t>
        </is>
      </c>
      <c r="J8" t="inlineStr">
        <is>
          <t>EcoCash</t>
        </is>
      </c>
      <c r="M8" t="inlineStr">
        <is>
          <t>S01</t>
        </is>
      </c>
    </row>
    <row r="9">
      <c r="A9" t="inlineStr">
        <is>
          <t>2025-12-01</t>
        </is>
      </c>
      <c r="B9" t="inlineStr">
        <is>
          <t>piggery</t>
        </is>
      </c>
      <c r="C9" t="inlineStr">
        <is>
          <t>Feed</t>
        </is>
      </c>
      <c r="D9" t="inlineStr">
        <is>
          <t>Pig grower 50kg</t>
        </is>
      </c>
      <c r="E9" t="n">
        <v>5</v>
      </c>
      <c r="F9" t="inlineStr">
        <is>
          <t>bag</t>
        </is>
      </c>
      <c r="G9" t="n">
        <v>34</v>
      </c>
      <c r="H9">
        <f>E9*G9</f>
        <v/>
      </c>
      <c r="I9" t="inlineStr">
        <is>
          <t>Profeeds Marondera</t>
        </is>
      </c>
      <c r="J9" t="inlineStr">
        <is>
          <t>Cash</t>
        </is>
      </c>
      <c r="M9" t="inlineStr">
        <is>
          <t>S02</t>
        </is>
      </c>
    </row>
    <row r="10">
      <c r="A10" t="inlineStr">
        <is>
          <t>2025-12-08</t>
        </is>
      </c>
      <c r="B10" t="inlineStr">
        <is>
          <t>piggery</t>
        </is>
      </c>
      <c r="C10" t="inlineStr">
        <is>
          <t>Feed</t>
        </is>
      </c>
      <c r="D10" t="inlineStr">
        <is>
          <t>Pig grower 50kg</t>
        </is>
      </c>
      <c r="E10" t="n">
        <v>5</v>
      </c>
      <c r="F10" t="inlineStr">
        <is>
          <t>bag</t>
        </is>
      </c>
      <c r="G10" t="n">
        <v>34</v>
      </c>
      <c r="H10">
        <f>E10*G10</f>
        <v/>
      </c>
      <c r="I10" t="inlineStr">
        <is>
          <t>Profeeds Marondera</t>
        </is>
      </c>
      <c r="J10" t="inlineStr">
        <is>
          <t>Cash</t>
        </is>
      </c>
      <c r="M10" t="inlineStr">
        <is>
          <t>S02</t>
        </is>
      </c>
    </row>
    <row r="11">
      <c r="A11" t="inlineStr">
        <is>
          <t>2025-12-15</t>
        </is>
      </c>
      <c r="B11" t="inlineStr">
        <is>
          <t>piggery</t>
        </is>
      </c>
      <c r="C11" t="inlineStr">
        <is>
          <t>Feed</t>
        </is>
      </c>
      <c r="D11" t="inlineStr">
        <is>
          <t>Pig grower 50kg</t>
        </is>
      </c>
      <c r="E11" t="n">
        <v>7</v>
      </c>
      <c r="F11" t="inlineStr">
        <is>
          <t>bag</t>
        </is>
      </c>
      <c r="G11" t="n">
        <v>34</v>
      </c>
      <c r="H11">
        <f>E11*G11</f>
        <v/>
      </c>
      <c r="I11" t="inlineStr">
        <is>
          <t>Profeeds Marondera</t>
        </is>
      </c>
      <c r="J11" t="inlineStr">
        <is>
          <t>Cash</t>
        </is>
      </c>
      <c r="M11" t="inlineStr">
        <is>
          <t>S01</t>
        </is>
      </c>
    </row>
    <row r="12">
      <c r="A12" t="inlineStr">
        <is>
          <t>2025-12-22</t>
        </is>
      </c>
      <c r="B12" t="inlineStr">
        <is>
          <t>piggery</t>
        </is>
      </c>
      <c r="C12" t="inlineStr">
        <is>
          <t>Feed</t>
        </is>
      </c>
      <c r="D12" t="inlineStr">
        <is>
          <t>Pig grower 50kg</t>
        </is>
      </c>
      <c r="E12" t="n">
        <v>7</v>
      </c>
      <c r="F12" t="inlineStr">
        <is>
          <t>bag</t>
        </is>
      </c>
      <c r="G12" t="n">
        <v>34</v>
      </c>
      <c r="H12">
        <f>E12*G12</f>
        <v/>
      </c>
      <c r="I12" t="inlineStr">
        <is>
          <t>Profeeds Marondera</t>
        </is>
      </c>
      <c r="J12" t="inlineStr">
        <is>
          <t>Cash</t>
        </is>
      </c>
      <c r="M12" t="inlineStr">
        <is>
          <t>S04</t>
        </is>
      </c>
    </row>
    <row r="13">
      <c r="A13" t="inlineStr">
        <is>
          <t>2025-12-29</t>
        </is>
      </c>
      <c r="B13" t="inlineStr">
        <is>
          <t>piggery</t>
        </is>
      </c>
      <c r="C13" t="inlineStr">
        <is>
          <t>Feed</t>
        </is>
      </c>
      <c r="D13" t="inlineStr">
        <is>
          <t>Pig grower 50kg</t>
        </is>
      </c>
      <c r="E13" t="n">
        <v>7</v>
      </c>
      <c r="F13" t="inlineStr">
        <is>
          <t>bag</t>
        </is>
      </c>
      <c r="G13" t="n">
        <v>34</v>
      </c>
      <c r="H13">
        <f>E13*G13</f>
        <v/>
      </c>
      <c r="I13" t="inlineStr">
        <is>
          <t>Profeeds Marondera</t>
        </is>
      </c>
      <c r="J13" t="inlineStr">
        <is>
          <t>Bank</t>
        </is>
      </c>
      <c r="M13" t="inlineStr">
        <is>
          <t>S02</t>
        </is>
      </c>
    </row>
    <row r="14">
      <c r="A14" t="inlineStr">
        <is>
          <t>2026-01-05</t>
        </is>
      </c>
      <c r="B14" t="inlineStr">
        <is>
          <t>piggery</t>
        </is>
      </c>
      <c r="C14" t="inlineStr">
        <is>
          <t>Feed</t>
        </is>
      </c>
      <c r="D14" t="inlineStr">
        <is>
          <t>Pig grower 50kg</t>
        </is>
      </c>
      <c r="E14" t="n">
        <v>9</v>
      </c>
      <c r="F14" t="inlineStr">
        <is>
          <t>bag</t>
        </is>
      </c>
      <c r="G14" t="n">
        <v>34</v>
      </c>
      <c r="H14">
        <f>E14*G14</f>
        <v/>
      </c>
      <c r="I14" t="inlineStr">
        <is>
          <t>Profeeds Marondera</t>
        </is>
      </c>
      <c r="J14" t="inlineStr">
        <is>
          <t>Bank</t>
        </is>
      </c>
      <c r="M14" t="inlineStr">
        <is>
          <t>S02</t>
        </is>
      </c>
    </row>
    <row r="15">
      <c r="A15" t="inlineStr">
        <is>
          <t>2026-01-12</t>
        </is>
      </c>
      <c r="B15" t="inlineStr">
        <is>
          <t>piggery</t>
        </is>
      </c>
      <c r="C15" t="inlineStr">
        <is>
          <t>Feed</t>
        </is>
      </c>
      <c r="D15" t="inlineStr">
        <is>
          <t>Pig grower 50kg</t>
        </is>
      </c>
      <c r="E15" t="n">
        <v>10</v>
      </c>
      <c r="F15" t="inlineStr">
        <is>
          <t>bag</t>
        </is>
      </c>
      <c r="G15" t="n">
        <v>34</v>
      </c>
      <c r="H15">
        <f>E15*G15</f>
        <v/>
      </c>
      <c r="I15" t="inlineStr">
        <is>
          <t>Profeeds Marondera</t>
        </is>
      </c>
      <c r="J15" t="inlineStr">
        <is>
          <t>Cash</t>
        </is>
      </c>
      <c r="M15" t="inlineStr">
        <is>
          <t>S04</t>
        </is>
      </c>
    </row>
    <row r="16">
      <c r="A16" t="inlineStr">
        <is>
          <t>2026-01-19</t>
        </is>
      </c>
      <c r="B16" t="inlineStr">
        <is>
          <t>piggery</t>
        </is>
      </c>
      <c r="C16" t="inlineStr">
        <is>
          <t>Feed</t>
        </is>
      </c>
      <c r="D16" t="inlineStr">
        <is>
          <t>Pig grower 50kg</t>
        </is>
      </c>
      <c r="E16" t="n">
        <v>10</v>
      </c>
      <c r="F16" t="inlineStr">
        <is>
          <t>bag</t>
        </is>
      </c>
      <c r="G16" t="n">
        <v>34</v>
      </c>
      <c r="H16">
        <f>E16*G16</f>
        <v/>
      </c>
      <c r="I16" t="inlineStr">
        <is>
          <t>Profeeds Marondera</t>
        </is>
      </c>
      <c r="J16" t="inlineStr">
        <is>
          <t>EcoCash</t>
        </is>
      </c>
      <c r="M16" t="inlineStr">
        <is>
          <t>S04</t>
        </is>
      </c>
    </row>
    <row r="17">
      <c r="A17" t="inlineStr">
        <is>
          <t>2026-01-26</t>
        </is>
      </c>
      <c r="B17" t="inlineStr">
        <is>
          <t>piggery</t>
        </is>
      </c>
      <c r="C17" t="inlineStr">
        <is>
          <t>Feed</t>
        </is>
      </c>
      <c r="D17" t="inlineStr">
        <is>
          <t>Pig grower 50kg</t>
        </is>
      </c>
      <c r="E17" t="n">
        <v>10</v>
      </c>
      <c r="F17" t="inlineStr">
        <is>
          <t>bag</t>
        </is>
      </c>
      <c r="G17" t="n">
        <v>34</v>
      </c>
      <c r="H17">
        <f>E17*G17</f>
        <v/>
      </c>
      <c r="I17" t="inlineStr">
        <is>
          <t>Profeeds Marondera</t>
        </is>
      </c>
      <c r="J17" t="inlineStr">
        <is>
          <t>Bank</t>
        </is>
      </c>
      <c r="M17" t="inlineStr">
        <is>
          <t>S02</t>
        </is>
      </c>
    </row>
    <row r="18">
      <c r="A18" t="inlineStr">
        <is>
          <t>2026-02-02</t>
        </is>
      </c>
      <c r="B18" t="inlineStr">
        <is>
          <t>piggery</t>
        </is>
      </c>
      <c r="C18" t="inlineStr">
        <is>
          <t>Feed</t>
        </is>
      </c>
      <c r="D18" t="inlineStr">
        <is>
          <t>Pig grower 50kg</t>
        </is>
      </c>
      <c r="E18" t="n">
        <v>11</v>
      </c>
      <c r="F18" t="inlineStr">
        <is>
          <t>bag</t>
        </is>
      </c>
      <c r="G18" t="n">
        <v>41.5</v>
      </c>
      <c r="H18">
        <f>E18*G18</f>
        <v/>
      </c>
      <c r="I18" t="inlineStr">
        <is>
          <t>Profeeds Marondera</t>
        </is>
      </c>
      <c r="J18" t="inlineStr">
        <is>
          <t>Bank</t>
        </is>
      </c>
      <c r="M18" t="inlineStr">
        <is>
          <t>S02</t>
        </is>
      </c>
    </row>
    <row r="19">
      <c r="A19" t="inlineStr">
        <is>
          <t>2026-02-09</t>
        </is>
      </c>
      <c r="B19" t="inlineStr">
        <is>
          <t>piggery</t>
        </is>
      </c>
      <c r="C19" t="inlineStr">
        <is>
          <t>Feed</t>
        </is>
      </c>
      <c r="D19" t="inlineStr">
        <is>
          <t>Pig grower 50kg</t>
        </is>
      </c>
      <c r="E19" t="n">
        <v>14</v>
      </c>
      <c r="F19" t="inlineStr">
        <is>
          <t>bag</t>
        </is>
      </c>
      <c r="G19" t="n">
        <v>34</v>
      </c>
      <c r="H19">
        <f>E19*G19</f>
        <v/>
      </c>
      <c r="I19" t="inlineStr">
        <is>
          <t>Profeeds Marondera</t>
        </is>
      </c>
      <c r="J19" t="inlineStr">
        <is>
          <t>Bank</t>
        </is>
      </c>
      <c r="M19" t="inlineStr">
        <is>
          <t>S01</t>
        </is>
      </c>
    </row>
    <row r="20">
      <c r="A20" t="inlineStr">
        <is>
          <t>2026-02-16</t>
        </is>
      </c>
      <c r="B20" t="inlineStr">
        <is>
          <t>piggery</t>
        </is>
      </c>
      <c r="C20" t="inlineStr">
        <is>
          <t>Feed</t>
        </is>
      </c>
      <c r="D20" t="inlineStr">
        <is>
          <t>Pig grower 50kg</t>
        </is>
      </c>
      <c r="E20" t="n">
        <v>11</v>
      </c>
      <c r="F20" t="inlineStr">
        <is>
          <t>bag</t>
        </is>
      </c>
      <c r="G20" t="n">
        <v>34</v>
      </c>
      <c r="H20">
        <f>E20*G20</f>
        <v/>
      </c>
      <c r="I20" t="inlineStr">
        <is>
          <t>Profeeds Marondera</t>
        </is>
      </c>
      <c r="J20" t="inlineStr">
        <is>
          <t>Cash</t>
        </is>
      </c>
      <c r="M20" t="inlineStr">
        <is>
          <t>S01</t>
        </is>
      </c>
    </row>
    <row r="21">
      <c r="A21" t="inlineStr">
        <is>
          <t>2026-02-23</t>
        </is>
      </c>
      <c r="B21" t="inlineStr">
        <is>
          <t>piggery</t>
        </is>
      </c>
      <c r="C21" t="inlineStr">
        <is>
          <t>Feed</t>
        </is>
      </c>
      <c r="D21" t="inlineStr">
        <is>
          <t>Pig grower 50kg</t>
        </is>
      </c>
      <c r="E21" t="n">
        <v>9</v>
      </c>
      <c r="F21" t="inlineStr">
        <is>
          <t>bag</t>
        </is>
      </c>
      <c r="G21" t="n">
        <v>34</v>
      </c>
      <c r="H21">
        <f>E21*G21</f>
        <v/>
      </c>
      <c r="I21" t="inlineStr">
        <is>
          <t>Profeeds Marondera</t>
        </is>
      </c>
      <c r="J21" t="inlineStr">
        <is>
          <t>EcoCash</t>
        </is>
      </c>
      <c r="M21" t="inlineStr">
        <is>
          <t>S02</t>
        </is>
      </c>
    </row>
    <row r="22">
      <c r="A22" t="inlineStr">
        <is>
          <t>2026-03-02</t>
        </is>
      </c>
      <c r="B22" t="inlineStr">
        <is>
          <t>piggery</t>
        </is>
      </c>
      <c r="C22" t="inlineStr">
        <is>
          <t>Feed</t>
        </is>
      </c>
      <c r="D22" t="inlineStr">
        <is>
          <t>Pig grower 50kg</t>
        </is>
      </c>
      <c r="E22" t="n">
        <v>12</v>
      </c>
      <c r="F22" t="inlineStr">
        <is>
          <t>bag</t>
        </is>
      </c>
      <c r="G22" t="n">
        <v>34</v>
      </c>
      <c r="H22">
        <f>E22*G22</f>
        <v/>
      </c>
      <c r="I22" t="inlineStr">
        <is>
          <t>Profeeds Marondera</t>
        </is>
      </c>
      <c r="J22" t="inlineStr">
        <is>
          <t>Cash</t>
        </is>
      </c>
      <c r="M22" t="inlineStr">
        <is>
          <t>S02</t>
        </is>
      </c>
    </row>
    <row r="23">
      <c r="A23" t="inlineStr">
        <is>
          <t>2026-03-09</t>
        </is>
      </c>
      <c r="B23" t="inlineStr">
        <is>
          <t>piggery</t>
        </is>
      </c>
      <c r="C23" t="inlineStr">
        <is>
          <t>Feed</t>
        </is>
      </c>
      <c r="D23" t="inlineStr">
        <is>
          <t>Pig grower 50kg</t>
        </is>
      </c>
      <c r="E23" t="n">
        <v>12</v>
      </c>
      <c r="F23" t="inlineStr">
        <is>
          <t>bag</t>
        </is>
      </c>
      <c r="G23" t="n">
        <v>34</v>
      </c>
      <c r="H23">
        <f>E23*G23</f>
        <v/>
      </c>
      <c r="I23" t="inlineStr">
        <is>
          <t>Profeeds Marondera</t>
        </is>
      </c>
      <c r="J23" t="inlineStr">
        <is>
          <t>Bank</t>
        </is>
      </c>
      <c r="M23" t="inlineStr">
        <is>
          <t>S04</t>
        </is>
      </c>
    </row>
    <row r="24">
      <c r="A24" t="inlineStr">
        <is>
          <t>2026-03-16</t>
        </is>
      </c>
      <c r="B24" t="inlineStr">
        <is>
          <t>piggery</t>
        </is>
      </c>
      <c r="C24" t="inlineStr">
        <is>
          <t>Feed</t>
        </is>
      </c>
      <c r="D24" t="inlineStr">
        <is>
          <t>Pig grower 50kg</t>
        </is>
      </c>
      <c r="E24" t="n">
        <v>10</v>
      </c>
      <c r="F24" t="inlineStr">
        <is>
          <t>bag</t>
        </is>
      </c>
      <c r="G24" t="n">
        <v>34</v>
      </c>
      <c r="H24">
        <f>E24*G24</f>
        <v/>
      </c>
      <c r="I24" t="inlineStr">
        <is>
          <t>Profeeds Marondera</t>
        </is>
      </c>
      <c r="J24" t="inlineStr">
        <is>
          <t>Bank</t>
        </is>
      </c>
      <c r="M24" t="inlineStr">
        <is>
          <t>S04</t>
        </is>
      </c>
    </row>
    <row r="25">
      <c r="A25" t="inlineStr">
        <is>
          <t>2026-03-23</t>
        </is>
      </c>
      <c r="B25" t="inlineStr">
        <is>
          <t>piggery</t>
        </is>
      </c>
      <c r="C25" t="inlineStr">
        <is>
          <t>Feed</t>
        </is>
      </c>
      <c r="D25" t="inlineStr">
        <is>
          <t>Pig grower 50kg</t>
        </is>
      </c>
      <c r="E25" t="n">
        <v>5</v>
      </c>
      <c r="F25" t="inlineStr">
        <is>
          <t>bag</t>
        </is>
      </c>
      <c r="G25" t="n">
        <v>34</v>
      </c>
      <c r="H25">
        <f>E25*G25</f>
        <v/>
      </c>
      <c r="I25" t="inlineStr">
        <is>
          <t>Profeeds Marondera</t>
        </is>
      </c>
      <c r="J25" t="inlineStr">
        <is>
          <t>Bank</t>
        </is>
      </c>
      <c r="M25" t="inlineStr">
        <is>
          <t>S02</t>
        </is>
      </c>
    </row>
    <row r="26">
      <c r="A26" t="inlineStr">
        <is>
          <t>2026-03-30</t>
        </is>
      </c>
      <c r="B26" t="inlineStr">
        <is>
          <t>piggery</t>
        </is>
      </c>
      <c r="C26" t="inlineStr">
        <is>
          <t>Feed</t>
        </is>
      </c>
      <c r="D26" t="inlineStr">
        <is>
          <t>Pig grower 50kg</t>
        </is>
      </c>
      <c r="E26" t="n">
        <v>5</v>
      </c>
      <c r="F26" t="inlineStr">
        <is>
          <t>bag</t>
        </is>
      </c>
      <c r="G26" t="n">
        <v>34</v>
      </c>
      <c r="H26">
        <f>E26*G26</f>
        <v/>
      </c>
      <c r="I26" t="inlineStr">
        <is>
          <t>Profeeds Marondera</t>
        </is>
      </c>
      <c r="J26" t="inlineStr">
        <is>
          <t>EcoCash</t>
        </is>
      </c>
      <c r="M26" t="inlineStr">
        <is>
          <t>S04</t>
        </is>
      </c>
    </row>
    <row r="27">
      <c r="A27" t="inlineStr">
        <is>
          <t>2026-04-06</t>
        </is>
      </c>
      <c r="B27" t="inlineStr">
        <is>
          <t>piggery</t>
        </is>
      </c>
      <c r="C27" t="inlineStr">
        <is>
          <t>Feed</t>
        </is>
      </c>
      <c r="D27" t="inlineStr">
        <is>
          <t>Pig grower 50kg</t>
        </is>
      </c>
      <c r="E27" t="n">
        <v>5</v>
      </c>
      <c r="F27" t="inlineStr">
        <is>
          <t>bag</t>
        </is>
      </c>
      <c r="G27" t="n">
        <v>34</v>
      </c>
      <c r="H27">
        <f>E27*G27</f>
        <v/>
      </c>
      <c r="I27" t="inlineStr">
        <is>
          <t>Profeeds Marondera</t>
        </is>
      </c>
      <c r="J27" t="inlineStr">
        <is>
          <t>Cash</t>
        </is>
      </c>
      <c r="M27" t="inlineStr">
        <is>
          <t>S02</t>
        </is>
      </c>
    </row>
    <row r="28">
      <c r="A28" t="inlineStr">
        <is>
          <t>2026-04-13</t>
        </is>
      </c>
      <c r="B28" t="inlineStr">
        <is>
          <t>piggery</t>
        </is>
      </c>
      <c r="C28" t="inlineStr">
        <is>
          <t>Feed</t>
        </is>
      </c>
      <c r="D28" t="inlineStr">
        <is>
          <t>Pig grower 50kg</t>
        </is>
      </c>
      <c r="E28" t="n">
        <v>5</v>
      </c>
      <c r="F28" t="inlineStr">
        <is>
          <t>bag</t>
        </is>
      </c>
      <c r="G28" t="n">
        <v>34</v>
      </c>
      <c r="H28">
        <f>E28*G28</f>
        <v/>
      </c>
      <c r="I28" t="inlineStr">
        <is>
          <t>Profeeds Marondera</t>
        </is>
      </c>
      <c r="J28" t="inlineStr">
        <is>
          <t>Cash</t>
        </is>
      </c>
      <c r="M28" t="inlineStr">
        <is>
          <t>S04</t>
        </is>
      </c>
    </row>
    <row r="29">
      <c r="A29" t="inlineStr">
        <is>
          <t>2026-04-20</t>
        </is>
      </c>
      <c r="B29" t="inlineStr">
        <is>
          <t>piggery</t>
        </is>
      </c>
      <c r="C29" t="inlineStr">
        <is>
          <t>Feed</t>
        </is>
      </c>
      <c r="D29" t="inlineStr">
        <is>
          <t>Pig grower 50kg</t>
        </is>
      </c>
      <c r="E29" t="n">
        <v>5</v>
      </c>
      <c r="F29" t="inlineStr">
        <is>
          <t>bag</t>
        </is>
      </c>
      <c r="G29" t="n">
        <v>34</v>
      </c>
      <c r="H29">
        <f>E29*G29</f>
        <v/>
      </c>
      <c r="I29" t="inlineStr">
        <is>
          <t>Profeeds Marondera</t>
        </is>
      </c>
      <c r="J29" t="inlineStr">
        <is>
          <t>Bank</t>
        </is>
      </c>
      <c r="M29" t="inlineStr">
        <is>
          <t>S04</t>
        </is>
      </c>
    </row>
    <row r="30">
      <c r="A30" t="inlineStr">
        <is>
          <t>2026-04-27</t>
        </is>
      </c>
      <c r="B30" t="inlineStr">
        <is>
          <t>piggery</t>
        </is>
      </c>
      <c r="C30" t="inlineStr">
        <is>
          <t>Feed</t>
        </is>
      </c>
      <c r="D30" t="inlineStr">
        <is>
          <t>Pig grower 50kg</t>
        </is>
      </c>
      <c r="E30" t="n">
        <v>5</v>
      </c>
      <c r="F30" t="inlineStr">
        <is>
          <t>bag</t>
        </is>
      </c>
      <c r="G30" t="n">
        <v>34</v>
      </c>
      <c r="H30">
        <f>E30*G30</f>
        <v/>
      </c>
      <c r="I30" t="inlineStr">
        <is>
          <t>Profeeds Marondera</t>
        </is>
      </c>
      <c r="J30" t="inlineStr">
        <is>
          <t>Cash</t>
        </is>
      </c>
      <c r="M30" t="inlineStr">
        <is>
          <t>S04</t>
        </is>
      </c>
    </row>
    <row r="31">
      <c r="A31" t="inlineStr">
        <is>
          <t>2026-05-04</t>
        </is>
      </c>
      <c r="B31" t="inlineStr">
        <is>
          <t>piggery</t>
        </is>
      </c>
      <c r="C31" t="inlineStr">
        <is>
          <t>Feed</t>
        </is>
      </c>
      <c r="D31" t="inlineStr">
        <is>
          <t>Pig grower 50kg</t>
        </is>
      </c>
      <c r="E31" t="n">
        <v>6</v>
      </c>
      <c r="F31" t="inlineStr">
        <is>
          <t>bag</t>
        </is>
      </c>
      <c r="G31" t="n">
        <v>34</v>
      </c>
      <c r="H31">
        <f>E31*G31</f>
        <v/>
      </c>
      <c r="I31" t="inlineStr">
        <is>
          <t>Profeeds Marondera</t>
        </is>
      </c>
      <c r="J31" t="inlineStr">
        <is>
          <t>Cash</t>
        </is>
      </c>
      <c r="M31" t="inlineStr">
        <is>
          <t>S01</t>
        </is>
      </c>
    </row>
    <row r="32">
      <c r="A32" t="inlineStr">
        <is>
          <t>2026-05-11</t>
        </is>
      </c>
      <c r="B32" t="inlineStr">
        <is>
          <t>piggery</t>
        </is>
      </c>
      <c r="C32" t="inlineStr">
        <is>
          <t>Feed</t>
        </is>
      </c>
      <c r="D32" t="inlineStr">
        <is>
          <t>Pig grower 50kg</t>
        </is>
      </c>
      <c r="E32" t="n">
        <v>8</v>
      </c>
      <c r="F32" t="inlineStr">
        <is>
          <t>bag</t>
        </is>
      </c>
      <c r="G32" t="n">
        <v>34</v>
      </c>
      <c r="H32">
        <f>E32*G32</f>
        <v/>
      </c>
      <c r="I32" t="inlineStr">
        <is>
          <t>Profeeds Marondera</t>
        </is>
      </c>
      <c r="J32" t="inlineStr">
        <is>
          <t>EcoCash</t>
        </is>
      </c>
      <c r="M32" t="inlineStr">
        <is>
          <t>S04</t>
        </is>
      </c>
    </row>
    <row r="33">
      <c r="A33" t="inlineStr">
        <is>
          <t>2026-05-18</t>
        </is>
      </c>
      <c r="B33" t="inlineStr">
        <is>
          <t>piggery</t>
        </is>
      </c>
      <c r="C33" t="inlineStr">
        <is>
          <t>Feed</t>
        </is>
      </c>
      <c r="D33" t="inlineStr">
        <is>
          <t>Pig grower 50kg</t>
        </is>
      </c>
      <c r="E33" t="n">
        <v>8</v>
      </c>
      <c r="F33" t="inlineStr">
        <is>
          <t>bag</t>
        </is>
      </c>
      <c r="G33" t="n">
        <v>34</v>
      </c>
      <c r="H33">
        <f>E33*G33</f>
        <v/>
      </c>
      <c r="I33" t="inlineStr">
        <is>
          <t>Profeeds Marondera</t>
        </is>
      </c>
      <c r="J33" t="inlineStr">
        <is>
          <t>Bank</t>
        </is>
      </c>
      <c r="M33" t="inlineStr">
        <is>
          <t>S02</t>
        </is>
      </c>
    </row>
    <row r="34">
      <c r="A34" t="inlineStr">
        <is>
          <t>2026-05-25</t>
        </is>
      </c>
      <c r="B34" t="inlineStr">
        <is>
          <t>piggery</t>
        </is>
      </c>
      <c r="C34" t="inlineStr">
        <is>
          <t>Feed</t>
        </is>
      </c>
      <c r="D34" t="inlineStr">
        <is>
          <t>Pig grower 50kg</t>
        </is>
      </c>
      <c r="E34" t="n">
        <v>9</v>
      </c>
      <c r="F34" t="inlineStr">
        <is>
          <t>bag</t>
        </is>
      </c>
      <c r="G34" t="n">
        <v>34</v>
      </c>
      <c r="H34">
        <f>E34*G34</f>
        <v/>
      </c>
      <c r="I34" t="inlineStr">
        <is>
          <t>Profeeds Marondera</t>
        </is>
      </c>
      <c r="J34" t="inlineStr">
        <is>
          <t>Cash</t>
        </is>
      </c>
      <c r="M34" t="inlineStr">
        <is>
          <t>S04</t>
        </is>
      </c>
    </row>
    <row r="35">
      <c r="A35" t="inlineStr">
        <is>
          <t>2026-06-01</t>
        </is>
      </c>
      <c r="B35" t="inlineStr">
        <is>
          <t>piggery</t>
        </is>
      </c>
      <c r="C35" t="inlineStr">
        <is>
          <t>Feed</t>
        </is>
      </c>
      <c r="D35" t="inlineStr">
        <is>
          <t>Pig grower 50kg</t>
        </is>
      </c>
      <c r="E35" t="n">
        <v>9</v>
      </c>
      <c r="F35" t="inlineStr">
        <is>
          <t>bag</t>
        </is>
      </c>
      <c r="G35" t="n">
        <v>34</v>
      </c>
      <c r="H35">
        <f>E35*G35</f>
        <v/>
      </c>
      <c r="I35" t="inlineStr">
        <is>
          <t>Profeeds Marondera</t>
        </is>
      </c>
      <c r="J35" t="inlineStr">
        <is>
          <t>Bank</t>
        </is>
      </c>
      <c r="M35" t="inlineStr">
        <is>
          <t>S02</t>
        </is>
      </c>
    </row>
    <row r="36">
      <c r="A36" t="inlineStr">
        <is>
          <t>2026-06-08</t>
        </is>
      </c>
      <c r="B36" t="inlineStr">
        <is>
          <t>piggery</t>
        </is>
      </c>
      <c r="C36" t="inlineStr">
        <is>
          <t>Feed</t>
        </is>
      </c>
      <c r="D36" t="inlineStr">
        <is>
          <t>Pig grower 50kg</t>
        </is>
      </c>
      <c r="E36" t="n">
        <v>10</v>
      </c>
      <c r="F36" t="inlineStr">
        <is>
          <t>bag</t>
        </is>
      </c>
      <c r="G36" t="n">
        <v>34</v>
      </c>
      <c r="H36">
        <f>E36*G36</f>
        <v/>
      </c>
      <c r="I36" t="inlineStr">
        <is>
          <t>Profeeds Marondera</t>
        </is>
      </c>
      <c r="J36" t="inlineStr">
        <is>
          <t>Bank</t>
        </is>
      </c>
      <c r="M36" t="inlineStr">
        <is>
          <t>S01</t>
        </is>
      </c>
    </row>
    <row r="37">
      <c r="A37" t="inlineStr">
        <is>
          <t>2026-06-15</t>
        </is>
      </c>
      <c r="B37" t="inlineStr">
        <is>
          <t>piggery</t>
        </is>
      </c>
      <c r="C37" t="inlineStr">
        <is>
          <t>Feed</t>
        </is>
      </c>
      <c r="D37" t="inlineStr">
        <is>
          <t>Pig grower 50kg</t>
        </is>
      </c>
      <c r="E37" t="n">
        <v>12</v>
      </c>
      <c r="F37" t="inlineStr">
        <is>
          <t>bag</t>
        </is>
      </c>
      <c r="G37" t="n">
        <v>34</v>
      </c>
      <c r="H37">
        <f>E37*G37</f>
        <v/>
      </c>
      <c r="I37" t="inlineStr">
        <is>
          <t>Profeeds Marondera</t>
        </is>
      </c>
      <c r="J37" t="inlineStr">
        <is>
          <t>Bank</t>
        </is>
      </c>
      <c r="M37" t="inlineStr">
        <is>
          <t>S04</t>
        </is>
      </c>
    </row>
    <row r="38">
      <c r="A38" t="inlineStr">
        <is>
          <t>2026-06-22</t>
        </is>
      </c>
      <c r="B38" t="inlineStr">
        <is>
          <t>piggery</t>
        </is>
      </c>
      <c r="C38" t="inlineStr">
        <is>
          <t>Feed</t>
        </is>
      </c>
      <c r="D38" t="inlineStr">
        <is>
          <t>Pig grower 50kg</t>
        </is>
      </c>
      <c r="E38" t="n">
        <v>13</v>
      </c>
      <c r="F38" t="inlineStr">
        <is>
          <t>bag</t>
        </is>
      </c>
      <c r="G38" t="n">
        <v>34</v>
      </c>
      <c r="H38">
        <f>E38*G38</f>
        <v/>
      </c>
      <c r="I38" t="inlineStr">
        <is>
          <t>Profeeds Marondera</t>
        </is>
      </c>
      <c r="J38" t="inlineStr">
        <is>
          <t>EcoCash</t>
        </is>
      </c>
      <c r="M38" t="inlineStr">
        <is>
          <t>S04</t>
        </is>
      </c>
    </row>
    <row r="39">
      <c r="A39" t="inlineStr">
        <is>
          <t>2026-06-29</t>
        </is>
      </c>
      <c r="B39" t="inlineStr">
        <is>
          <t>piggery</t>
        </is>
      </c>
      <c r="C39" t="inlineStr">
        <is>
          <t>Feed</t>
        </is>
      </c>
      <c r="D39" t="inlineStr">
        <is>
          <t>Pig grower 50kg</t>
        </is>
      </c>
      <c r="E39" t="n">
        <v>10</v>
      </c>
      <c r="F39" t="inlineStr">
        <is>
          <t>bag</t>
        </is>
      </c>
      <c r="G39" t="n">
        <v>34</v>
      </c>
      <c r="H39">
        <f>E39*G39</f>
        <v/>
      </c>
      <c r="I39" t="inlineStr">
        <is>
          <t>Profeeds Marondera</t>
        </is>
      </c>
      <c r="J39" t="inlineStr">
        <is>
          <t>EcoCash</t>
        </is>
      </c>
      <c r="M39" t="inlineStr">
        <is>
          <t>S01</t>
        </is>
      </c>
    </row>
    <row r="40">
      <c r="A40" t="inlineStr">
        <is>
          <t>2026-07-06</t>
        </is>
      </c>
      <c r="B40" t="inlineStr">
        <is>
          <t>piggery</t>
        </is>
      </c>
      <c r="C40" t="inlineStr">
        <is>
          <t>Feed</t>
        </is>
      </c>
      <c r="D40" t="inlineStr">
        <is>
          <t>Pig grower 50kg</t>
        </is>
      </c>
      <c r="E40" t="n">
        <v>11</v>
      </c>
      <c r="F40" t="inlineStr">
        <is>
          <t>bag</t>
        </is>
      </c>
      <c r="G40" t="n">
        <v>34</v>
      </c>
      <c r="H40">
        <f>E40*G40</f>
        <v/>
      </c>
      <c r="I40" t="inlineStr">
        <is>
          <t>Profeeds Marondera</t>
        </is>
      </c>
      <c r="J40" t="inlineStr">
        <is>
          <t>EcoCash</t>
        </is>
      </c>
      <c r="M40" t="inlineStr">
        <is>
          <t>S02</t>
        </is>
      </c>
    </row>
    <row r="41">
      <c r="A41" t="inlineStr">
        <is>
          <t>2026-07-13</t>
        </is>
      </c>
      <c r="B41" t="inlineStr">
        <is>
          <t>piggery</t>
        </is>
      </c>
      <c r="C41" t="inlineStr">
        <is>
          <t>Feed</t>
        </is>
      </c>
      <c r="D41" t="inlineStr">
        <is>
          <t>Pig grower 50kg</t>
        </is>
      </c>
      <c r="E41" t="n">
        <v>11</v>
      </c>
      <c r="F41" t="inlineStr">
        <is>
          <t>bag</t>
        </is>
      </c>
      <c r="G41" t="n">
        <v>34</v>
      </c>
      <c r="H41">
        <f>E41*G41</f>
        <v/>
      </c>
      <c r="I41" t="inlineStr">
        <is>
          <t>Profeeds Marondera</t>
        </is>
      </c>
      <c r="J41" t="inlineStr">
        <is>
          <t>EcoCash</t>
        </is>
      </c>
      <c r="M41" t="inlineStr">
        <is>
          <t>S04</t>
        </is>
      </c>
    </row>
    <row r="42">
      <c r="A42" t="inlineStr">
        <is>
          <t>2026-07-20</t>
        </is>
      </c>
      <c r="B42" t="inlineStr">
        <is>
          <t>piggery</t>
        </is>
      </c>
      <c r="C42" t="inlineStr">
        <is>
          <t>Feed</t>
        </is>
      </c>
      <c r="D42" t="inlineStr">
        <is>
          <t>Pig grower 50kg</t>
        </is>
      </c>
      <c r="E42" t="n">
        <v>14</v>
      </c>
      <c r="F42" t="inlineStr">
        <is>
          <t>bag</t>
        </is>
      </c>
      <c r="G42" t="n">
        <v>34</v>
      </c>
      <c r="H42">
        <f>E42*G42</f>
        <v/>
      </c>
      <c r="I42" t="inlineStr">
        <is>
          <t>Profeeds Marondera</t>
        </is>
      </c>
      <c r="J42" t="inlineStr">
        <is>
          <t>EcoCash</t>
        </is>
      </c>
      <c r="M42" t="inlineStr">
        <is>
          <t>S02</t>
        </is>
      </c>
    </row>
    <row r="43">
      <c r="A43" t="inlineStr">
        <is>
          <t>2026-07-27</t>
        </is>
      </c>
      <c r="B43" t="inlineStr">
        <is>
          <t>piggery</t>
        </is>
      </c>
      <c r="C43" t="inlineStr">
        <is>
          <t>Feed</t>
        </is>
      </c>
      <c r="D43" t="inlineStr">
        <is>
          <t>Pig grower 50kg</t>
        </is>
      </c>
      <c r="E43" t="n">
        <v>14</v>
      </c>
      <c r="F43" t="inlineStr">
        <is>
          <t>bag</t>
        </is>
      </c>
      <c r="G43" t="n">
        <v>34</v>
      </c>
      <c r="H43">
        <f>E43*G43</f>
        <v/>
      </c>
      <c r="I43" t="inlineStr">
        <is>
          <t>Profeeds Marondera</t>
        </is>
      </c>
      <c r="J43" t="inlineStr">
        <is>
          <t>EcoCash</t>
        </is>
      </c>
      <c r="M43" t="inlineStr">
        <is>
          <t>S04</t>
        </is>
      </c>
    </row>
    <row r="44">
      <c r="A44" t="inlineStr">
        <is>
          <t>2026-08-03</t>
        </is>
      </c>
      <c r="B44" t="inlineStr">
        <is>
          <t>piggery</t>
        </is>
      </c>
      <c r="C44" t="inlineStr">
        <is>
          <t>Feed</t>
        </is>
      </c>
      <c r="D44" t="inlineStr">
        <is>
          <t>Pig grower 50kg</t>
        </is>
      </c>
      <c r="E44" t="n">
        <v>13</v>
      </c>
      <c r="F44" t="inlineStr">
        <is>
          <t>bag</t>
        </is>
      </c>
      <c r="G44" t="n">
        <v>34</v>
      </c>
      <c r="H44">
        <f>E44*G44</f>
        <v/>
      </c>
      <c r="I44" t="inlineStr">
        <is>
          <t>Profeeds Marondera</t>
        </is>
      </c>
      <c r="J44" t="inlineStr">
        <is>
          <t>Bank</t>
        </is>
      </c>
      <c r="M44" t="inlineStr">
        <is>
          <t>S01</t>
        </is>
      </c>
    </row>
    <row r="45">
      <c r="A45" t="inlineStr">
        <is>
          <t>2026-08-10</t>
        </is>
      </c>
      <c r="B45" t="inlineStr">
        <is>
          <t>piggery</t>
        </is>
      </c>
      <c r="C45" t="inlineStr">
        <is>
          <t>Feed</t>
        </is>
      </c>
      <c r="D45" t="inlineStr">
        <is>
          <t>Pig grower 50kg</t>
        </is>
      </c>
      <c r="E45" t="n">
        <v>12</v>
      </c>
      <c r="F45" t="inlineStr">
        <is>
          <t>bag</t>
        </is>
      </c>
      <c r="G45" t="n">
        <v>34</v>
      </c>
      <c r="H45">
        <f>E45*G45</f>
        <v/>
      </c>
      <c r="I45" t="inlineStr">
        <is>
          <t>Profeeds Marondera</t>
        </is>
      </c>
      <c r="J45" t="inlineStr">
        <is>
          <t>EcoCash</t>
        </is>
      </c>
      <c r="M45" t="inlineStr">
        <is>
          <t>S04</t>
        </is>
      </c>
    </row>
    <row r="46">
      <c r="A46" t="inlineStr">
        <is>
          <t>2026-08-17</t>
        </is>
      </c>
      <c r="B46" t="inlineStr">
        <is>
          <t>piggery</t>
        </is>
      </c>
      <c r="C46" t="inlineStr">
        <is>
          <t>Feed</t>
        </is>
      </c>
      <c r="D46" t="inlineStr">
        <is>
          <t>Pig grower 50kg</t>
        </is>
      </c>
      <c r="E46" t="n">
        <v>6</v>
      </c>
      <c r="F46" t="inlineStr">
        <is>
          <t>bag</t>
        </is>
      </c>
      <c r="G46" t="n">
        <v>34</v>
      </c>
      <c r="H46">
        <f>E46*G46</f>
        <v/>
      </c>
      <c r="I46" t="inlineStr">
        <is>
          <t>Profeeds Marondera</t>
        </is>
      </c>
      <c r="J46" t="inlineStr">
        <is>
          <t>Cash</t>
        </is>
      </c>
      <c r="M46" t="inlineStr">
        <is>
          <t>S02</t>
        </is>
      </c>
    </row>
    <row r="47">
      <c r="A47" t="inlineStr">
        <is>
          <t>2026-08-24</t>
        </is>
      </c>
      <c r="B47" t="inlineStr">
        <is>
          <t>piggery</t>
        </is>
      </c>
      <c r="C47" t="inlineStr">
        <is>
          <t>Feed</t>
        </is>
      </c>
      <c r="D47" t="inlineStr">
        <is>
          <t>Pig grower 50kg</t>
        </is>
      </c>
      <c r="E47" t="n">
        <v>5</v>
      </c>
      <c r="F47" t="inlineStr">
        <is>
          <t>bag</t>
        </is>
      </c>
      <c r="G47" t="n">
        <v>34</v>
      </c>
      <c r="H47">
        <f>E47*G47</f>
        <v/>
      </c>
      <c r="I47" t="inlineStr">
        <is>
          <t>Profeeds Marondera</t>
        </is>
      </c>
      <c r="J47" t="inlineStr">
        <is>
          <t>EcoCash</t>
        </is>
      </c>
      <c r="M47" t="inlineStr">
        <is>
          <t>S02</t>
        </is>
      </c>
    </row>
    <row r="48">
      <c r="A48" t="inlineStr">
        <is>
          <t>2026-08-31</t>
        </is>
      </c>
      <c r="B48" t="inlineStr">
        <is>
          <t>piggery</t>
        </is>
      </c>
      <c r="C48" t="inlineStr">
        <is>
          <t>Feed</t>
        </is>
      </c>
      <c r="D48" t="inlineStr">
        <is>
          <t>Pig grower 50kg</t>
        </is>
      </c>
      <c r="E48" t="n">
        <v>5</v>
      </c>
      <c r="F48" t="inlineStr">
        <is>
          <t>bag</t>
        </is>
      </c>
      <c r="G48" t="n">
        <v>34</v>
      </c>
      <c r="H48">
        <f>E48*G48</f>
        <v/>
      </c>
      <c r="I48" t="inlineStr">
        <is>
          <t>Profeeds Marondera</t>
        </is>
      </c>
      <c r="J48" t="inlineStr">
        <is>
          <t>Cash</t>
        </is>
      </c>
      <c r="M48" t="inlineStr">
        <is>
          <t>S04</t>
        </is>
      </c>
    </row>
    <row r="49">
      <c r="A49" t="inlineStr">
        <is>
          <t>2026-09-07</t>
        </is>
      </c>
      <c r="B49" t="inlineStr">
        <is>
          <t>piggery</t>
        </is>
      </c>
      <c r="C49" t="inlineStr">
        <is>
          <t>Feed</t>
        </is>
      </c>
      <c r="D49" t="inlineStr">
        <is>
          <t>Pig grower 50kg</t>
        </is>
      </c>
      <c r="E49" t="n">
        <v>4</v>
      </c>
      <c r="F49" t="inlineStr">
        <is>
          <t>bag</t>
        </is>
      </c>
      <c r="G49" t="n">
        <v>34</v>
      </c>
      <c r="H49">
        <f>E49*G49</f>
        <v/>
      </c>
      <c r="I49" t="inlineStr">
        <is>
          <t>Profeeds Marondera</t>
        </is>
      </c>
      <c r="J49" t="inlineStr">
        <is>
          <t>Cash</t>
        </is>
      </c>
      <c r="M49" t="inlineStr">
        <is>
          <t>S01</t>
        </is>
      </c>
    </row>
    <row r="50">
      <c r="A50" t="inlineStr">
        <is>
          <t>2026-09-14</t>
        </is>
      </c>
      <c r="B50" t="inlineStr">
        <is>
          <t>piggery</t>
        </is>
      </c>
      <c r="C50" t="inlineStr">
        <is>
          <t>Feed</t>
        </is>
      </c>
      <c r="D50" t="inlineStr">
        <is>
          <t>Pig grower 50kg</t>
        </is>
      </c>
      <c r="E50" t="n">
        <v>5</v>
      </c>
      <c r="F50" t="inlineStr">
        <is>
          <t>bag</t>
        </is>
      </c>
      <c r="G50" t="n">
        <v>34</v>
      </c>
      <c r="H50">
        <f>E50*G50</f>
        <v/>
      </c>
      <c r="I50" t="inlineStr">
        <is>
          <t>Profeeds Marondera</t>
        </is>
      </c>
      <c r="J50" t="inlineStr">
        <is>
          <t>Bank</t>
        </is>
      </c>
      <c r="M50" t="inlineStr">
        <is>
          <t>S01</t>
        </is>
      </c>
    </row>
    <row r="51">
      <c r="A51" t="inlineStr">
        <is>
          <t>2025-10-06</t>
        </is>
      </c>
      <c r="B51" t="inlineStr">
        <is>
          <t>poultry</t>
        </is>
      </c>
      <c r="C51" t="inlineStr">
        <is>
          <t>Feed</t>
        </is>
      </c>
      <c r="D51" t="inlineStr">
        <is>
          <t>Broiler grower 50kg</t>
        </is>
      </c>
      <c r="E51" t="n">
        <v>4</v>
      </c>
      <c r="F51" t="inlineStr">
        <is>
          <t>bag</t>
        </is>
      </c>
      <c r="G51" t="n">
        <v>36</v>
      </c>
      <c r="H51">
        <f>E51*G51</f>
        <v/>
      </c>
      <c r="I51" t="inlineStr">
        <is>
          <t>Profeeds Marondera</t>
        </is>
      </c>
      <c r="J51" t="inlineStr">
        <is>
          <t>Cash</t>
        </is>
      </c>
      <c r="M51" t="inlineStr">
        <is>
          <t>S01</t>
        </is>
      </c>
    </row>
    <row r="52">
      <c r="A52" t="inlineStr">
        <is>
          <t>2025-10-13</t>
        </is>
      </c>
      <c r="B52" t="inlineStr">
        <is>
          <t>poultry</t>
        </is>
      </c>
      <c r="C52" t="inlineStr">
        <is>
          <t>Feed</t>
        </is>
      </c>
      <c r="D52" t="inlineStr">
        <is>
          <t>Broiler grower 50kg</t>
        </is>
      </c>
      <c r="E52" t="n">
        <v>4</v>
      </c>
      <c r="F52" t="inlineStr">
        <is>
          <t>bag</t>
        </is>
      </c>
      <c r="G52" t="n">
        <v>35</v>
      </c>
      <c r="H52">
        <f>E52*G52</f>
        <v/>
      </c>
      <c r="I52" t="inlineStr">
        <is>
          <t>Profeeds Marondera</t>
        </is>
      </c>
      <c r="J52" t="inlineStr">
        <is>
          <t>Bank</t>
        </is>
      </c>
      <c r="M52" t="inlineStr">
        <is>
          <t>S01</t>
        </is>
      </c>
    </row>
    <row r="53">
      <c r="A53" t="inlineStr">
        <is>
          <t>2025-10-20</t>
        </is>
      </c>
      <c r="B53" t="inlineStr">
        <is>
          <t>poultry</t>
        </is>
      </c>
      <c r="C53" t="inlineStr">
        <is>
          <t>Feed</t>
        </is>
      </c>
      <c r="D53" t="inlineStr">
        <is>
          <t>Broiler grower 50kg</t>
        </is>
      </c>
      <c r="E53" t="n">
        <v>5</v>
      </c>
      <c r="F53" t="inlineStr">
        <is>
          <t>bag</t>
        </is>
      </c>
      <c r="G53" t="n">
        <v>35.5</v>
      </c>
      <c r="H53">
        <f>E53*G53</f>
        <v/>
      </c>
      <c r="I53" t="inlineStr">
        <is>
          <t>Profeeds Marondera</t>
        </is>
      </c>
      <c r="J53" t="inlineStr">
        <is>
          <t>Cash</t>
        </is>
      </c>
      <c r="M53" t="inlineStr">
        <is>
          <t>S04</t>
        </is>
      </c>
    </row>
    <row r="54">
      <c r="A54" t="inlineStr">
        <is>
          <t>2025-10-27</t>
        </is>
      </c>
      <c r="B54" t="inlineStr">
        <is>
          <t>poultry</t>
        </is>
      </c>
      <c r="C54" t="inlineStr">
        <is>
          <t>Feed</t>
        </is>
      </c>
      <c r="D54" t="inlineStr">
        <is>
          <t>Broiler grower 50kg</t>
        </is>
      </c>
      <c r="E54" t="n">
        <v>6</v>
      </c>
      <c r="F54" t="inlineStr">
        <is>
          <t>bag</t>
        </is>
      </c>
      <c r="G54" t="n">
        <v>35.5</v>
      </c>
      <c r="H54">
        <f>E54*G54</f>
        <v/>
      </c>
      <c r="I54" t="inlineStr">
        <is>
          <t>Profeeds Marondera</t>
        </is>
      </c>
      <c r="J54" t="inlineStr">
        <is>
          <t>EcoCash</t>
        </is>
      </c>
      <c r="M54" t="inlineStr">
        <is>
          <t>S04</t>
        </is>
      </c>
    </row>
    <row r="55">
      <c r="A55" t="inlineStr">
        <is>
          <t>2025-11-03</t>
        </is>
      </c>
      <c r="B55" t="inlineStr">
        <is>
          <t>poultry</t>
        </is>
      </c>
      <c r="C55" t="inlineStr">
        <is>
          <t>Feed</t>
        </is>
      </c>
      <c r="D55" t="inlineStr">
        <is>
          <t>Broiler grower 50kg</t>
        </is>
      </c>
      <c r="E55" t="n">
        <v>7</v>
      </c>
      <c r="F55" t="inlineStr">
        <is>
          <t>bag</t>
        </is>
      </c>
      <c r="G55" t="n">
        <v>35</v>
      </c>
      <c r="H55">
        <f>E55*G55</f>
        <v/>
      </c>
      <c r="I55" t="inlineStr">
        <is>
          <t>Profeeds Marondera</t>
        </is>
      </c>
      <c r="J55" t="inlineStr">
        <is>
          <t>EcoCash</t>
        </is>
      </c>
      <c r="M55" t="inlineStr">
        <is>
          <t>S01</t>
        </is>
      </c>
    </row>
    <row r="56">
      <c r="A56" t="inlineStr">
        <is>
          <t>2025-11-10</t>
        </is>
      </c>
      <c r="B56" t="inlineStr">
        <is>
          <t>poultry</t>
        </is>
      </c>
      <c r="C56" t="inlineStr">
        <is>
          <t>Feed</t>
        </is>
      </c>
      <c r="D56" t="inlineStr">
        <is>
          <t>Broiler grower 50kg</t>
        </is>
      </c>
      <c r="E56" t="n">
        <v>9</v>
      </c>
      <c r="F56" t="inlineStr">
        <is>
          <t>bag</t>
        </is>
      </c>
      <c r="G56" t="n">
        <v>37</v>
      </c>
      <c r="H56">
        <f>E56*G56</f>
        <v/>
      </c>
      <c r="I56" t="inlineStr">
        <is>
          <t>Profeeds Marondera</t>
        </is>
      </c>
      <c r="J56" t="inlineStr">
        <is>
          <t>EcoCash</t>
        </is>
      </c>
      <c r="M56" t="inlineStr">
        <is>
          <t>S04</t>
        </is>
      </c>
    </row>
    <row r="57">
      <c r="A57" t="inlineStr">
        <is>
          <t>2025-11-17</t>
        </is>
      </c>
      <c r="B57" t="inlineStr">
        <is>
          <t>poultry</t>
        </is>
      </c>
      <c r="C57" t="inlineStr">
        <is>
          <t>Feed</t>
        </is>
      </c>
      <c r="D57" t="inlineStr">
        <is>
          <t>Broiler grower 50kg</t>
        </is>
      </c>
      <c r="E57" t="n">
        <v>7</v>
      </c>
      <c r="F57" t="inlineStr">
        <is>
          <t>bag</t>
        </is>
      </c>
      <c r="G57" t="n">
        <v>36.5</v>
      </c>
      <c r="H57">
        <f>E57*G57</f>
        <v/>
      </c>
      <c r="I57" t="inlineStr">
        <is>
          <t>Profeeds Marondera</t>
        </is>
      </c>
      <c r="J57" t="inlineStr">
        <is>
          <t>Bank</t>
        </is>
      </c>
      <c r="M57" t="inlineStr">
        <is>
          <t>S04</t>
        </is>
      </c>
    </row>
    <row r="58">
      <c r="A58" t="inlineStr">
        <is>
          <t>2025-12-15</t>
        </is>
      </c>
      <c r="B58" t="inlineStr">
        <is>
          <t>poultry</t>
        </is>
      </c>
      <c r="C58" t="inlineStr">
        <is>
          <t>Feed</t>
        </is>
      </c>
      <c r="D58" t="inlineStr">
        <is>
          <t>Broiler grower 50kg</t>
        </is>
      </c>
      <c r="E58" t="n">
        <v>4</v>
      </c>
      <c r="F58" t="inlineStr">
        <is>
          <t>bag</t>
        </is>
      </c>
      <c r="G58" t="n">
        <v>36.5</v>
      </c>
      <c r="H58">
        <f>E58*G58</f>
        <v/>
      </c>
      <c r="I58" t="inlineStr">
        <is>
          <t>Profeeds Marondera</t>
        </is>
      </c>
      <c r="J58" t="inlineStr">
        <is>
          <t>Cash</t>
        </is>
      </c>
      <c r="M58" t="inlineStr">
        <is>
          <t>S02</t>
        </is>
      </c>
    </row>
    <row r="59">
      <c r="A59" t="inlineStr">
        <is>
          <t>2025-12-22</t>
        </is>
      </c>
      <c r="B59" t="inlineStr">
        <is>
          <t>poultry</t>
        </is>
      </c>
      <c r="C59" t="inlineStr">
        <is>
          <t>Feed</t>
        </is>
      </c>
      <c r="D59" t="inlineStr">
        <is>
          <t>Broiler grower 50kg</t>
        </is>
      </c>
      <c r="E59" t="n">
        <v>4</v>
      </c>
      <c r="F59" t="inlineStr">
        <is>
          <t>bag</t>
        </is>
      </c>
      <c r="G59" t="n">
        <v>35.5</v>
      </c>
      <c r="H59">
        <f>E59*G59</f>
        <v/>
      </c>
      <c r="I59" t="inlineStr">
        <is>
          <t>Profeeds Marondera</t>
        </is>
      </c>
      <c r="J59" t="inlineStr">
        <is>
          <t>EcoCash</t>
        </is>
      </c>
      <c r="M59" t="inlineStr">
        <is>
          <t>S04</t>
        </is>
      </c>
    </row>
    <row r="60">
      <c r="A60" t="inlineStr">
        <is>
          <t>2025-12-29</t>
        </is>
      </c>
      <c r="B60" t="inlineStr">
        <is>
          <t>poultry</t>
        </is>
      </c>
      <c r="C60" t="inlineStr">
        <is>
          <t>Feed</t>
        </is>
      </c>
      <c r="D60" t="inlineStr">
        <is>
          <t>Broiler grower 50kg</t>
        </is>
      </c>
      <c r="E60" t="n">
        <v>5</v>
      </c>
      <c r="F60" t="inlineStr">
        <is>
          <t>bag</t>
        </is>
      </c>
      <c r="G60" t="n">
        <v>35</v>
      </c>
      <c r="H60">
        <f>E60*G60</f>
        <v/>
      </c>
      <c r="I60" t="inlineStr">
        <is>
          <t>Profeeds Marondera</t>
        </is>
      </c>
      <c r="J60" t="inlineStr">
        <is>
          <t>Bank</t>
        </is>
      </c>
      <c r="M60" t="inlineStr">
        <is>
          <t>S04</t>
        </is>
      </c>
    </row>
    <row r="61">
      <c r="A61" t="inlineStr">
        <is>
          <t>2026-01-05</t>
        </is>
      </c>
      <c r="B61" t="inlineStr">
        <is>
          <t>poultry</t>
        </is>
      </c>
      <c r="C61" t="inlineStr">
        <is>
          <t>Feed</t>
        </is>
      </c>
      <c r="D61" t="inlineStr">
        <is>
          <t>Broiler grower 50kg</t>
        </is>
      </c>
      <c r="E61" t="n">
        <v>6</v>
      </c>
      <c r="F61" t="inlineStr">
        <is>
          <t>bag</t>
        </is>
      </c>
      <c r="G61" t="n">
        <v>36.5</v>
      </c>
      <c r="H61">
        <f>E61*G61</f>
        <v/>
      </c>
      <c r="I61" t="inlineStr">
        <is>
          <t>Profeeds Marondera</t>
        </is>
      </c>
      <c r="J61" t="inlineStr">
        <is>
          <t>Bank</t>
        </is>
      </c>
      <c r="M61" t="inlineStr">
        <is>
          <t>S04</t>
        </is>
      </c>
    </row>
    <row r="62">
      <c r="A62" t="inlineStr">
        <is>
          <t>2026-01-12</t>
        </is>
      </c>
      <c r="B62" t="inlineStr">
        <is>
          <t>poultry</t>
        </is>
      </c>
      <c r="C62" t="inlineStr">
        <is>
          <t>Feed</t>
        </is>
      </c>
      <c r="D62" t="inlineStr">
        <is>
          <t>Broiler grower 50kg</t>
        </is>
      </c>
      <c r="E62" t="n">
        <v>7</v>
      </c>
      <c r="F62" t="inlineStr">
        <is>
          <t>bag</t>
        </is>
      </c>
      <c r="G62" t="n">
        <v>35.5</v>
      </c>
      <c r="H62">
        <f>E62*G62</f>
        <v/>
      </c>
      <c r="I62" t="inlineStr">
        <is>
          <t>Profeeds Marondera</t>
        </is>
      </c>
      <c r="J62" t="inlineStr">
        <is>
          <t>Cash</t>
        </is>
      </c>
      <c r="M62" t="inlineStr">
        <is>
          <t>S02</t>
        </is>
      </c>
    </row>
    <row r="63">
      <c r="A63" t="inlineStr">
        <is>
          <t>2026-01-19</t>
        </is>
      </c>
      <c r="B63" t="inlineStr">
        <is>
          <t>poultry</t>
        </is>
      </c>
      <c r="C63" t="inlineStr">
        <is>
          <t>Feed</t>
        </is>
      </c>
      <c r="D63" t="inlineStr">
        <is>
          <t>Broiler grower 50kg</t>
        </is>
      </c>
      <c r="E63" t="n">
        <v>9</v>
      </c>
      <c r="F63" t="inlineStr">
        <is>
          <t>bag</t>
        </is>
      </c>
      <c r="G63" t="n">
        <v>35</v>
      </c>
      <c r="H63">
        <f>E63*G63</f>
        <v/>
      </c>
      <c r="I63" t="inlineStr">
        <is>
          <t>Profeeds Marondera</t>
        </is>
      </c>
      <c r="J63" t="inlineStr">
        <is>
          <t>Cash</t>
        </is>
      </c>
      <c r="M63" t="inlineStr">
        <is>
          <t>S04</t>
        </is>
      </c>
    </row>
    <row r="64">
      <c r="A64" t="inlineStr">
        <is>
          <t>2026-01-26</t>
        </is>
      </c>
      <c r="B64" t="inlineStr">
        <is>
          <t>poultry</t>
        </is>
      </c>
      <c r="C64" t="inlineStr">
        <is>
          <t>Feed</t>
        </is>
      </c>
      <c r="D64" t="inlineStr">
        <is>
          <t>Broiler grower 50kg</t>
        </is>
      </c>
      <c r="E64" t="n">
        <v>7</v>
      </c>
      <c r="F64" t="inlineStr">
        <is>
          <t>bag</t>
        </is>
      </c>
      <c r="G64" t="n">
        <v>34.5</v>
      </c>
      <c r="H64">
        <f>E64*G64</f>
        <v/>
      </c>
      <c r="I64" t="inlineStr">
        <is>
          <t>Profeeds Marondera</t>
        </is>
      </c>
      <c r="J64" t="inlineStr">
        <is>
          <t>Cash</t>
        </is>
      </c>
      <c r="M64" t="inlineStr">
        <is>
          <t>S04</t>
        </is>
      </c>
    </row>
    <row r="65">
      <c r="A65" t="inlineStr">
        <is>
          <t>2026-03-02</t>
        </is>
      </c>
      <c r="B65" t="inlineStr">
        <is>
          <t>poultry</t>
        </is>
      </c>
      <c r="C65" t="inlineStr">
        <is>
          <t>Feed</t>
        </is>
      </c>
      <c r="D65" t="inlineStr">
        <is>
          <t>Broiler grower 50kg</t>
        </is>
      </c>
      <c r="E65" t="n">
        <v>4</v>
      </c>
      <c r="F65" t="inlineStr">
        <is>
          <t>bag</t>
        </is>
      </c>
      <c r="G65" t="n">
        <v>35</v>
      </c>
      <c r="H65">
        <f>E65*G65</f>
        <v/>
      </c>
      <c r="I65" t="inlineStr">
        <is>
          <t>Profeeds Marondera</t>
        </is>
      </c>
      <c r="J65" t="inlineStr">
        <is>
          <t>Cash</t>
        </is>
      </c>
      <c r="M65" t="inlineStr">
        <is>
          <t>S04</t>
        </is>
      </c>
    </row>
    <row r="66">
      <c r="A66" t="inlineStr">
        <is>
          <t>2026-03-09</t>
        </is>
      </c>
      <c r="B66" t="inlineStr">
        <is>
          <t>poultry</t>
        </is>
      </c>
      <c r="C66" t="inlineStr">
        <is>
          <t>Feed</t>
        </is>
      </c>
      <c r="D66" t="inlineStr">
        <is>
          <t>Broiler grower 50kg</t>
        </is>
      </c>
      <c r="E66" t="n">
        <v>4</v>
      </c>
      <c r="F66" t="inlineStr">
        <is>
          <t>bag</t>
        </is>
      </c>
      <c r="G66" t="n">
        <v>35.5</v>
      </c>
      <c r="H66">
        <f>E66*G66</f>
        <v/>
      </c>
      <c r="I66" t="inlineStr">
        <is>
          <t>Profeeds Marondera</t>
        </is>
      </c>
      <c r="J66" t="inlineStr">
        <is>
          <t>EcoCash</t>
        </is>
      </c>
      <c r="M66" t="inlineStr">
        <is>
          <t>S04</t>
        </is>
      </c>
    </row>
    <row r="67">
      <c r="A67" t="inlineStr">
        <is>
          <t>2026-03-16</t>
        </is>
      </c>
      <c r="B67" t="inlineStr">
        <is>
          <t>poultry</t>
        </is>
      </c>
      <c r="C67" t="inlineStr">
        <is>
          <t>Feed</t>
        </is>
      </c>
      <c r="D67" t="inlineStr">
        <is>
          <t>Broiler grower 50kg</t>
        </is>
      </c>
      <c r="E67" t="n">
        <v>5</v>
      </c>
      <c r="F67" t="inlineStr">
        <is>
          <t>bag</t>
        </is>
      </c>
      <c r="G67" t="n">
        <v>36.5</v>
      </c>
      <c r="H67">
        <f>E67*G67</f>
        <v/>
      </c>
      <c r="I67" t="inlineStr">
        <is>
          <t>Profeeds Marondera</t>
        </is>
      </c>
      <c r="J67" t="inlineStr">
        <is>
          <t>Bank</t>
        </is>
      </c>
      <c r="M67" t="inlineStr">
        <is>
          <t>S04</t>
        </is>
      </c>
    </row>
    <row r="68">
      <c r="A68" t="inlineStr">
        <is>
          <t>2026-03-23</t>
        </is>
      </c>
      <c r="B68" t="inlineStr">
        <is>
          <t>poultry</t>
        </is>
      </c>
      <c r="C68" t="inlineStr">
        <is>
          <t>Feed</t>
        </is>
      </c>
      <c r="D68" t="inlineStr">
        <is>
          <t>Broiler grower 50kg</t>
        </is>
      </c>
      <c r="E68" t="n">
        <v>6</v>
      </c>
      <c r="F68" t="inlineStr">
        <is>
          <t>bag</t>
        </is>
      </c>
      <c r="G68" t="n">
        <v>35</v>
      </c>
      <c r="H68">
        <f>E68*G68</f>
        <v/>
      </c>
      <c r="I68" t="inlineStr">
        <is>
          <t>Profeeds Marondera</t>
        </is>
      </c>
      <c r="J68" t="inlineStr">
        <is>
          <t>EcoCash</t>
        </is>
      </c>
      <c r="M68" t="inlineStr">
        <is>
          <t>S01</t>
        </is>
      </c>
    </row>
    <row r="69">
      <c r="A69" t="inlineStr">
        <is>
          <t>2026-03-30</t>
        </is>
      </c>
      <c r="B69" t="inlineStr">
        <is>
          <t>poultry</t>
        </is>
      </c>
      <c r="C69" t="inlineStr">
        <is>
          <t>Feed</t>
        </is>
      </c>
      <c r="D69" t="inlineStr">
        <is>
          <t>Broiler grower 50kg</t>
        </is>
      </c>
      <c r="E69" t="n">
        <v>8</v>
      </c>
      <c r="F69" t="inlineStr">
        <is>
          <t>bag</t>
        </is>
      </c>
      <c r="G69" t="n">
        <v>35.5</v>
      </c>
      <c r="H69">
        <f>E69*G69</f>
        <v/>
      </c>
      <c r="I69" t="inlineStr">
        <is>
          <t>Profeeds Marondera</t>
        </is>
      </c>
      <c r="J69" t="inlineStr">
        <is>
          <t>Bank</t>
        </is>
      </c>
      <c r="M69" t="inlineStr">
        <is>
          <t>S04</t>
        </is>
      </c>
    </row>
    <row r="70">
      <c r="A70" t="inlineStr">
        <is>
          <t>2026-04-06</t>
        </is>
      </c>
      <c r="B70" t="inlineStr">
        <is>
          <t>poultry</t>
        </is>
      </c>
      <c r="C70" t="inlineStr">
        <is>
          <t>Feed</t>
        </is>
      </c>
      <c r="D70" t="inlineStr">
        <is>
          <t>Broiler grower 50kg</t>
        </is>
      </c>
      <c r="E70" t="n">
        <v>8</v>
      </c>
      <c r="F70" t="inlineStr">
        <is>
          <t>bag</t>
        </is>
      </c>
      <c r="G70" t="n">
        <v>37</v>
      </c>
      <c r="H70">
        <f>E70*G70</f>
        <v/>
      </c>
      <c r="I70" t="inlineStr">
        <is>
          <t>Profeeds Marondera</t>
        </is>
      </c>
      <c r="J70" t="inlineStr">
        <is>
          <t>Bank</t>
        </is>
      </c>
      <c r="M70" t="inlineStr">
        <is>
          <t>S04</t>
        </is>
      </c>
    </row>
    <row r="71">
      <c r="A71" t="inlineStr">
        <is>
          <t>2026-04-13</t>
        </is>
      </c>
      <c r="B71" t="inlineStr">
        <is>
          <t>poultry</t>
        </is>
      </c>
      <c r="C71" t="inlineStr">
        <is>
          <t>Feed</t>
        </is>
      </c>
      <c r="D71" t="inlineStr">
        <is>
          <t>Broiler grower 50kg</t>
        </is>
      </c>
      <c r="E71" t="n">
        <v>6</v>
      </c>
      <c r="F71" t="inlineStr">
        <is>
          <t>bag</t>
        </is>
      </c>
      <c r="G71" t="n">
        <v>36</v>
      </c>
      <c r="H71">
        <f>E71*G71</f>
        <v/>
      </c>
      <c r="I71" t="inlineStr">
        <is>
          <t>Profeeds Marondera</t>
        </is>
      </c>
      <c r="J71" t="inlineStr">
        <is>
          <t>Bank</t>
        </is>
      </c>
      <c r="M71" t="inlineStr">
        <is>
          <t>S01</t>
        </is>
      </c>
    </row>
    <row r="72">
      <c r="A72" t="inlineStr">
        <is>
          <t>2026-08-03</t>
        </is>
      </c>
      <c r="B72" t="inlineStr">
        <is>
          <t>poultry</t>
        </is>
      </c>
      <c r="C72" t="inlineStr">
        <is>
          <t>Feed</t>
        </is>
      </c>
      <c r="D72" t="inlineStr">
        <is>
          <t>Broiler grower 50kg</t>
        </is>
      </c>
      <c r="E72" t="n">
        <v>4</v>
      </c>
      <c r="F72" t="inlineStr">
        <is>
          <t>bag</t>
        </is>
      </c>
      <c r="G72" t="n">
        <v>35.5</v>
      </c>
      <c r="H72">
        <f>E72*G72</f>
        <v/>
      </c>
      <c r="I72" t="inlineStr">
        <is>
          <t>Profeeds Marondera</t>
        </is>
      </c>
      <c r="J72" t="inlineStr">
        <is>
          <t>Bank</t>
        </is>
      </c>
      <c r="M72" t="inlineStr">
        <is>
          <t>S02</t>
        </is>
      </c>
    </row>
    <row r="73">
      <c r="A73" t="inlineStr">
        <is>
          <t>2026-08-10</t>
        </is>
      </c>
      <c r="B73" t="inlineStr">
        <is>
          <t>poultry</t>
        </is>
      </c>
      <c r="C73" t="inlineStr">
        <is>
          <t>Feed</t>
        </is>
      </c>
      <c r="D73" t="inlineStr">
        <is>
          <t>Broiler grower 50kg</t>
        </is>
      </c>
      <c r="E73" t="n">
        <v>4</v>
      </c>
      <c r="F73" t="inlineStr">
        <is>
          <t>bag</t>
        </is>
      </c>
      <c r="G73" t="n">
        <v>37.5</v>
      </c>
      <c r="H73">
        <f>E73*G73</f>
        <v/>
      </c>
      <c r="I73" t="inlineStr">
        <is>
          <t>Profeeds Marondera</t>
        </is>
      </c>
      <c r="J73" t="inlineStr">
        <is>
          <t>Cash</t>
        </is>
      </c>
      <c r="M73" t="inlineStr">
        <is>
          <t>S04</t>
        </is>
      </c>
    </row>
    <row r="74">
      <c r="A74" t="inlineStr">
        <is>
          <t>2026-08-17</t>
        </is>
      </c>
      <c r="B74" t="inlineStr">
        <is>
          <t>poultry</t>
        </is>
      </c>
      <c r="C74" t="inlineStr">
        <is>
          <t>Feed</t>
        </is>
      </c>
      <c r="D74" t="inlineStr">
        <is>
          <t>Broiler grower 50kg</t>
        </is>
      </c>
      <c r="E74" t="n">
        <v>5</v>
      </c>
      <c r="F74" t="inlineStr">
        <is>
          <t>bag</t>
        </is>
      </c>
      <c r="G74" t="n">
        <v>37</v>
      </c>
      <c r="H74">
        <f>E74*G74</f>
        <v/>
      </c>
      <c r="I74" t="inlineStr">
        <is>
          <t>Profeeds Marondera</t>
        </is>
      </c>
      <c r="J74" t="inlineStr">
        <is>
          <t>Bank</t>
        </is>
      </c>
      <c r="M74" t="inlineStr">
        <is>
          <t>S01</t>
        </is>
      </c>
    </row>
    <row r="75">
      <c r="A75" t="inlineStr">
        <is>
          <t>2026-08-24</t>
        </is>
      </c>
      <c r="B75" t="inlineStr">
        <is>
          <t>poultry</t>
        </is>
      </c>
      <c r="C75" t="inlineStr">
        <is>
          <t>Feed</t>
        </is>
      </c>
      <c r="D75" t="inlineStr">
        <is>
          <t>Broiler grower 50kg</t>
        </is>
      </c>
      <c r="E75" t="n">
        <v>6</v>
      </c>
      <c r="F75" t="inlineStr">
        <is>
          <t>bag</t>
        </is>
      </c>
      <c r="G75" t="n">
        <v>36</v>
      </c>
      <c r="H75">
        <f>E75*G75</f>
        <v/>
      </c>
      <c r="I75" t="inlineStr">
        <is>
          <t>Profeeds Marondera</t>
        </is>
      </c>
      <c r="J75" t="inlineStr">
        <is>
          <t>Cash</t>
        </is>
      </c>
      <c r="M75" t="inlineStr">
        <is>
          <t>S01</t>
        </is>
      </c>
    </row>
    <row r="76">
      <c r="A76" t="inlineStr">
        <is>
          <t>2026-08-31</t>
        </is>
      </c>
      <c r="B76" t="inlineStr">
        <is>
          <t>poultry</t>
        </is>
      </c>
      <c r="C76" t="inlineStr">
        <is>
          <t>Feed</t>
        </is>
      </c>
      <c r="D76" t="inlineStr">
        <is>
          <t>Broiler grower 50kg</t>
        </is>
      </c>
      <c r="E76" t="n">
        <v>8</v>
      </c>
      <c r="F76" t="inlineStr">
        <is>
          <t>bag</t>
        </is>
      </c>
      <c r="G76" t="n">
        <v>37</v>
      </c>
      <c r="H76">
        <f>E76*G76</f>
        <v/>
      </c>
      <c r="I76" t="inlineStr">
        <is>
          <t>Profeeds Marondera</t>
        </is>
      </c>
      <c r="J76" t="inlineStr">
        <is>
          <t>EcoCash</t>
        </is>
      </c>
      <c r="M76" t="inlineStr">
        <is>
          <t>S01</t>
        </is>
      </c>
    </row>
    <row r="77">
      <c r="A77" t="inlineStr">
        <is>
          <t>2026-09-07</t>
        </is>
      </c>
      <c r="B77" t="inlineStr">
        <is>
          <t>poultry</t>
        </is>
      </c>
      <c r="C77" t="inlineStr">
        <is>
          <t>Feed</t>
        </is>
      </c>
      <c r="D77" t="inlineStr">
        <is>
          <t>Broiler grower 50kg</t>
        </is>
      </c>
      <c r="E77" t="n">
        <v>10</v>
      </c>
      <c r="F77" t="inlineStr">
        <is>
          <t>bag</t>
        </is>
      </c>
      <c r="G77" t="n">
        <v>37</v>
      </c>
      <c r="H77">
        <f>E77*G77</f>
        <v/>
      </c>
      <c r="I77" t="inlineStr">
        <is>
          <t>Profeeds Marondera</t>
        </is>
      </c>
      <c r="J77" t="inlineStr">
        <is>
          <t>Bank</t>
        </is>
      </c>
      <c r="M77" t="inlineStr">
        <is>
          <t>S02</t>
        </is>
      </c>
    </row>
    <row r="78">
      <c r="A78" t="inlineStr">
        <is>
          <t>2026-09-14</t>
        </is>
      </c>
      <c r="B78" t="inlineStr">
        <is>
          <t>poultry</t>
        </is>
      </c>
      <c r="C78" t="inlineStr">
        <is>
          <t>Feed</t>
        </is>
      </c>
      <c r="D78" t="inlineStr">
        <is>
          <t>Broiler grower 50kg</t>
        </is>
      </c>
      <c r="E78" t="n">
        <v>4</v>
      </c>
      <c r="F78" t="inlineStr">
        <is>
          <t>bag</t>
        </is>
      </c>
      <c r="G78" t="n">
        <v>37</v>
      </c>
      <c r="H78">
        <f>E78*G78</f>
        <v/>
      </c>
      <c r="I78" t="inlineStr">
        <is>
          <t>Profeeds Marondera</t>
        </is>
      </c>
      <c r="J78" t="inlineStr">
        <is>
          <t>Cash</t>
        </is>
      </c>
      <c r="M78" t="inlineStr">
        <is>
          <t>S02</t>
        </is>
      </c>
    </row>
    <row r="79">
      <c r="A79" t="inlineStr">
        <is>
          <t>2026-03-02</t>
        </is>
      </c>
      <c r="B79" t="inlineStr">
        <is>
          <t>piggery</t>
        </is>
      </c>
      <c r="C79" t="inlineStr">
        <is>
          <t>Weaners</t>
        </is>
      </c>
      <c r="D79" t="inlineStr">
        <is>
          <t>Weaners x26</t>
        </is>
      </c>
      <c r="E79" t="n">
        <v>26</v>
      </c>
      <c r="F79" t="inlineStr">
        <is>
          <t>head</t>
        </is>
      </c>
      <c r="G79" t="n">
        <v>27.97</v>
      </c>
      <c r="H79">
        <f>E79*G79</f>
        <v/>
      </c>
      <c r="I79" t="inlineStr">
        <is>
          <t>Local breeder</t>
        </is>
      </c>
      <c r="J79" t="inlineStr">
        <is>
          <t>Cash</t>
        </is>
      </c>
      <c r="K79" t="inlineStr">
        <is>
          <t>PIG-B02</t>
        </is>
      </c>
      <c r="M79" t="inlineStr">
        <is>
          <t>S01</t>
        </is>
      </c>
    </row>
    <row r="80">
      <c r="A80" t="inlineStr">
        <is>
          <t>2025-11-10</t>
        </is>
      </c>
      <c r="B80" t="inlineStr">
        <is>
          <t>piggery</t>
        </is>
      </c>
      <c r="C80" t="inlineStr">
        <is>
          <t>Weaners</t>
        </is>
      </c>
      <c r="D80" t="inlineStr">
        <is>
          <t>Weaners x24</t>
        </is>
      </c>
      <c r="E80" t="n">
        <v>24</v>
      </c>
      <c r="F80" t="inlineStr">
        <is>
          <t>head</t>
        </is>
      </c>
      <c r="G80" t="n">
        <v>26.15</v>
      </c>
      <c r="H80">
        <f>E80*G80</f>
        <v/>
      </c>
      <c r="I80" t="inlineStr">
        <is>
          <t>Local breeder</t>
        </is>
      </c>
      <c r="J80" t="inlineStr">
        <is>
          <t>Cash</t>
        </is>
      </c>
      <c r="K80" t="inlineStr">
        <is>
          <t>PIG-B03</t>
        </is>
      </c>
      <c r="M80" t="inlineStr">
        <is>
          <t>S01</t>
        </is>
      </c>
    </row>
    <row r="81">
      <c r="A81" t="inlineStr">
        <is>
          <t>2025-10-10</t>
        </is>
      </c>
      <c r="B81" t="inlineStr">
        <is>
          <t>poultry</t>
        </is>
      </c>
      <c r="C81" t="inlineStr">
        <is>
          <t>Day-old chicks</t>
        </is>
      </c>
      <c r="D81" t="inlineStr">
        <is>
          <t>Ross 308 day-old chicks</t>
        </is>
      </c>
      <c r="E81" t="n">
        <v>500</v>
      </c>
      <c r="F81" t="inlineStr">
        <is>
          <t>head</t>
        </is>
      </c>
      <c r="G81" t="n">
        <v>0.55</v>
      </c>
      <c r="H81">
        <f>E81*G81</f>
        <v/>
      </c>
      <c r="I81" t="inlineStr">
        <is>
          <t>Irvine's Zimbabwe</t>
        </is>
      </c>
      <c r="J81" t="inlineStr">
        <is>
          <t>EcoCash</t>
        </is>
      </c>
      <c r="K81" t="inlineStr">
        <is>
          <t>BRO-P01</t>
        </is>
      </c>
      <c r="M81" t="inlineStr">
        <is>
          <t>S02</t>
        </is>
      </c>
    </row>
    <row r="82">
      <c r="A82" t="inlineStr">
        <is>
          <t>2025-12-20</t>
        </is>
      </c>
      <c r="B82" t="inlineStr">
        <is>
          <t>poultry</t>
        </is>
      </c>
      <c r="C82" t="inlineStr">
        <is>
          <t>Day-old chicks</t>
        </is>
      </c>
      <c r="D82" t="inlineStr">
        <is>
          <t>Ross 308 day-old chicks</t>
        </is>
      </c>
      <c r="E82" t="n">
        <v>520</v>
      </c>
      <c r="F82" t="inlineStr">
        <is>
          <t>head</t>
        </is>
      </c>
      <c r="G82" t="n">
        <v>0.58</v>
      </c>
      <c r="H82">
        <f>E82*G82</f>
        <v/>
      </c>
      <c r="I82" t="inlineStr">
        <is>
          <t>Irvine's Zimbabwe</t>
        </is>
      </c>
      <c r="J82" t="inlineStr">
        <is>
          <t>EcoCash</t>
        </is>
      </c>
      <c r="K82" t="inlineStr">
        <is>
          <t>BRO-P02</t>
        </is>
      </c>
      <c r="M82" t="inlineStr">
        <is>
          <t>S02</t>
        </is>
      </c>
    </row>
    <row r="83">
      <c r="A83" t="inlineStr">
        <is>
          <t>2026-03-05</t>
        </is>
      </c>
      <c r="B83" t="inlineStr">
        <is>
          <t>poultry</t>
        </is>
      </c>
      <c r="C83" t="inlineStr">
        <is>
          <t>Day-old chicks</t>
        </is>
      </c>
      <c r="D83" t="inlineStr">
        <is>
          <t>Ross 308 day-old chicks</t>
        </is>
      </c>
      <c r="E83" t="n">
        <v>500</v>
      </c>
      <c r="F83" t="inlineStr">
        <is>
          <t>head</t>
        </is>
      </c>
      <c r="G83" t="n">
        <v>0.55</v>
      </c>
      <c r="H83">
        <f>E83*G83</f>
        <v/>
      </c>
      <c r="I83" t="inlineStr">
        <is>
          <t>Irvine's Zimbabwe</t>
        </is>
      </c>
      <c r="J83" t="inlineStr">
        <is>
          <t>EcoCash</t>
        </is>
      </c>
      <c r="K83" t="inlineStr">
        <is>
          <t>BRO-P03</t>
        </is>
      </c>
      <c r="M83" t="inlineStr">
        <is>
          <t>S02</t>
        </is>
      </c>
    </row>
    <row r="84">
      <c r="A84" t="inlineStr">
        <is>
          <t>2026-08-04</t>
        </is>
      </c>
      <c r="B84" t="inlineStr">
        <is>
          <t>poultry</t>
        </is>
      </c>
      <c r="C84" t="inlineStr">
        <is>
          <t>Day-old chicks</t>
        </is>
      </c>
      <c r="D84" t="inlineStr">
        <is>
          <t>Ross 308 day-old chicks</t>
        </is>
      </c>
      <c r="E84" t="n">
        <v>510</v>
      </c>
      <c r="F84" t="inlineStr">
        <is>
          <t>head</t>
        </is>
      </c>
      <c r="G84" t="n">
        <v>0.6</v>
      </c>
      <c r="H84">
        <f>E84*G84</f>
        <v/>
      </c>
      <c r="I84" t="inlineStr">
        <is>
          <t>National Foods Hatchery</t>
        </is>
      </c>
      <c r="J84" t="inlineStr">
        <is>
          <t>EcoCash</t>
        </is>
      </c>
      <c r="K84" t="inlineStr">
        <is>
          <t>BRO-P04</t>
        </is>
      </c>
      <c r="M84" t="inlineStr">
        <is>
          <t>S02</t>
        </is>
      </c>
    </row>
    <row r="85">
      <c r="A85" t="inlineStr">
        <is>
          <t>2026-04-25</t>
        </is>
      </c>
      <c r="B85" t="inlineStr">
        <is>
          <t>piggery</t>
        </is>
      </c>
      <c r="C85" t="inlineStr">
        <is>
          <t>Vet &amp; Meds</t>
        </is>
      </c>
      <c r="D85" t="inlineStr">
        <is>
          <t>Suspected bacterial enteritis / respiratory complex</t>
        </is>
      </c>
      <c r="E85" t="n">
        <v>1</v>
      </c>
      <c r="F85" t="inlineStr">
        <is>
          <t>dose</t>
        </is>
      </c>
      <c r="G85" t="n">
        <v>15</v>
      </c>
      <c r="H85">
        <f>E85*G85</f>
        <v/>
      </c>
      <c r="I85" t="inlineStr">
        <is>
          <t>Farm &amp; City Vet</t>
        </is>
      </c>
      <c r="J85" t="inlineStr">
        <is>
          <t>Cash</t>
        </is>
      </c>
      <c r="K85" t="inlineStr">
        <is>
          <t>PIG-B02</t>
        </is>
      </c>
      <c r="M85" t="inlineStr">
        <is>
          <t>S01</t>
        </is>
      </c>
    </row>
    <row r="86">
      <c r="A86" t="inlineStr">
        <is>
          <t>2026-04-27</t>
        </is>
      </c>
      <c r="B86" t="inlineStr">
        <is>
          <t>piggery</t>
        </is>
      </c>
      <c r="C86" t="inlineStr">
        <is>
          <t>Vet &amp; Meds</t>
        </is>
      </c>
      <c r="D86" t="inlineStr">
        <is>
          <t>Oxytetracycline LA</t>
        </is>
      </c>
      <c r="E86" t="n">
        <v>1</v>
      </c>
      <c r="F86" t="inlineStr">
        <is>
          <t>dose</t>
        </is>
      </c>
      <c r="G86" t="n">
        <v>34.98</v>
      </c>
      <c r="H86">
        <f>E86*G86</f>
        <v/>
      </c>
      <c r="I86" t="inlineStr">
        <is>
          <t>Farm &amp; City Vet</t>
        </is>
      </c>
      <c r="J86" t="inlineStr">
        <is>
          <t>Cash</t>
        </is>
      </c>
      <c r="K86" t="inlineStr">
        <is>
          <t>PIG-B02</t>
        </is>
      </c>
      <c r="M86" t="inlineStr">
        <is>
          <t>S01</t>
        </is>
      </c>
    </row>
    <row r="87">
      <c r="A87" t="inlineStr">
        <is>
          <t>2026-04-29</t>
        </is>
      </c>
      <c r="B87" t="inlineStr">
        <is>
          <t>piggery</t>
        </is>
      </c>
      <c r="C87" t="inlineStr">
        <is>
          <t>Vet &amp; Meds</t>
        </is>
      </c>
      <c r="D87" t="inlineStr">
        <is>
          <t>Oxytetracycline LA</t>
        </is>
      </c>
      <c r="E87" t="n">
        <v>1</v>
      </c>
      <c r="F87" t="inlineStr">
        <is>
          <t>dose</t>
        </is>
      </c>
      <c r="G87" t="n">
        <v>40.47</v>
      </c>
      <c r="H87">
        <f>E87*G87</f>
        <v/>
      </c>
      <c r="I87" t="inlineStr">
        <is>
          <t>Farm &amp; City Vet</t>
        </is>
      </c>
      <c r="J87" t="inlineStr">
        <is>
          <t>Cash</t>
        </is>
      </c>
      <c r="K87" t="inlineStr">
        <is>
          <t>PIG-B02</t>
        </is>
      </c>
      <c r="M87" t="inlineStr">
        <is>
          <t>S01</t>
        </is>
      </c>
    </row>
    <row r="88">
      <c r="A88" t="inlineStr">
        <is>
          <t>2026-05-01</t>
        </is>
      </c>
      <c r="B88" t="inlineStr">
        <is>
          <t>piggery</t>
        </is>
      </c>
      <c r="C88" t="inlineStr">
        <is>
          <t>Vet &amp; Meds</t>
        </is>
      </c>
      <c r="D88" t="inlineStr">
        <is>
          <t>Oxytetracycline LA</t>
        </is>
      </c>
      <c r="E88" t="n">
        <v>1</v>
      </c>
      <c r="F88" t="inlineStr">
        <is>
          <t>dose</t>
        </is>
      </c>
      <c r="G88" t="n">
        <v>36.77</v>
      </c>
      <c r="H88">
        <f>E88*G88</f>
        <v/>
      </c>
      <c r="I88" t="inlineStr">
        <is>
          <t>Farm &amp; City Vet</t>
        </is>
      </c>
      <c r="J88" t="inlineStr">
        <is>
          <t>Cash</t>
        </is>
      </c>
      <c r="K88" t="inlineStr">
        <is>
          <t>PIG-B02</t>
        </is>
      </c>
      <c r="M88" t="inlineStr">
        <is>
          <t>S01</t>
        </is>
      </c>
    </row>
    <row r="89">
      <c r="A89" t="inlineStr">
        <is>
          <t>2026-05-05</t>
        </is>
      </c>
      <c r="B89" t="inlineStr">
        <is>
          <t>piggery</t>
        </is>
      </c>
      <c r="C89" t="inlineStr">
        <is>
          <t>Vet &amp; Meds</t>
        </is>
      </c>
      <c r="D89" t="inlineStr">
        <is>
          <t>Oxytetracycline LA</t>
        </is>
      </c>
      <c r="E89" t="n">
        <v>1</v>
      </c>
      <c r="F89" t="inlineStr">
        <is>
          <t>dose</t>
        </is>
      </c>
      <c r="G89" t="n">
        <v>41.33</v>
      </c>
      <c r="H89">
        <f>E89*G89</f>
        <v/>
      </c>
      <c r="I89" t="inlineStr">
        <is>
          <t>Farm &amp; City Vet</t>
        </is>
      </c>
      <c r="J89" t="inlineStr">
        <is>
          <t>Cash</t>
        </is>
      </c>
      <c r="K89" t="inlineStr">
        <is>
          <t>PIG-B02</t>
        </is>
      </c>
      <c r="M89" t="inlineStr">
        <is>
          <t>S01</t>
        </is>
      </c>
    </row>
    <row r="90">
      <c r="A90" t="inlineStr">
        <is>
          <t>2025-11-09</t>
        </is>
      </c>
      <c r="B90" t="inlineStr">
        <is>
          <t>piggery</t>
        </is>
      </c>
      <c r="C90" t="inlineStr">
        <is>
          <t>Vet &amp; Meds</t>
        </is>
      </c>
      <c r="D90" t="inlineStr">
        <is>
          <t>Erysipelas + Parvo combo</t>
        </is>
      </c>
      <c r="E90" t="n">
        <v>1</v>
      </c>
      <c r="F90" t="inlineStr">
        <is>
          <t>dose</t>
        </is>
      </c>
      <c r="G90" t="n">
        <v>9</v>
      </c>
      <c r="H90">
        <f>E90*G90</f>
        <v/>
      </c>
      <c r="I90" t="inlineStr">
        <is>
          <t>Farm &amp; City Vet</t>
        </is>
      </c>
      <c r="J90" t="inlineStr">
        <is>
          <t>Cash</t>
        </is>
      </c>
      <c r="K90" t="inlineStr">
        <is>
          <t>PIG-B01</t>
        </is>
      </c>
      <c r="M90" t="inlineStr">
        <is>
          <t>S01</t>
        </is>
      </c>
    </row>
    <row r="91">
      <c r="A91" t="inlineStr">
        <is>
          <t>2026-03-09</t>
        </is>
      </c>
      <c r="B91" t="inlineStr">
        <is>
          <t>piggery</t>
        </is>
      </c>
      <c r="C91" t="inlineStr">
        <is>
          <t>Vet &amp; Meds</t>
        </is>
      </c>
      <c r="D91" t="inlineStr">
        <is>
          <t>Erysipelas + Parvo combo</t>
        </is>
      </c>
      <c r="E91" t="n">
        <v>1</v>
      </c>
      <c r="F91" t="inlineStr">
        <is>
          <t>dose</t>
        </is>
      </c>
      <c r="G91" t="n">
        <v>23.4</v>
      </c>
      <c r="H91">
        <f>E91*G91</f>
        <v/>
      </c>
      <c r="I91" t="inlineStr">
        <is>
          <t>Farm &amp; City Vet</t>
        </is>
      </c>
      <c r="J91" t="inlineStr">
        <is>
          <t>Cash</t>
        </is>
      </c>
      <c r="K91" t="inlineStr">
        <is>
          <t>PIG-B02</t>
        </is>
      </c>
      <c r="M91" t="inlineStr">
        <is>
          <t>S01</t>
        </is>
      </c>
    </row>
    <row r="92">
      <c r="A92" t="inlineStr">
        <is>
          <t>2025-11-17</t>
        </is>
      </c>
      <c r="B92" t="inlineStr">
        <is>
          <t>piggery</t>
        </is>
      </c>
      <c r="C92" t="inlineStr">
        <is>
          <t>Vet &amp; Meds</t>
        </is>
      </c>
      <c r="D92" t="inlineStr">
        <is>
          <t>Erysipelas + Parvo combo</t>
        </is>
      </c>
      <c r="E92" t="n">
        <v>1</v>
      </c>
      <c r="F92" t="inlineStr">
        <is>
          <t>dose</t>
        </is>
      </c>
      <c r="G92" t="n">
        <v>21.6</v>
      </c>
      <c r="H92">
        <f>E92*G92</f>
        <v/>
      </c>
      <c r="I92" t="inlineStr">
        <is>
          <t>Farm &amp; City Vet</t>
        </is>
      </c>
      <c r="J92" t="inlineStr">
        <is>
          <t>Cash</t>
        </is>
      </c>
      <c r="K92" t="inlineStr">
        <is>
          <t>PIG-B03</t>
        </is>
      </c>
      <c r="M92" t="inlineStr">
        <is>
          <t>S01</t>
        </is>
      </c>
    </row>
    <row r="93">
      <c r="A93" t="inlineStr">
        <is>
          <t>2026-05-19</t>
        </is>
      </c>
      <c r="B93" t="inlineStr">
        <is>
          <t>piggery</t>
        </is>
      </c>
      <c r="C93" t="inlineStr">
        <is>
          <t>Vet &amp; Meds</t>
        </is>
      </c>
      <c r="D93" t="inlineStr">
        <is>
          <t>Erysipelas + Parvo combo</t>
        </is>
      </c>
      <c r="E93" t="n">
        <v>1</v>
      </c>
      <c r="F93" t="inlineStr">
        <is>
          <t>dose</t>
        </is>
      </c>
      <c r="G93" t="n">
        <v>10.8</v>
      </c>
      <c r="H93">
        <f>E93*G93</f>
        <v/>
      </c>
      <c r="I93" t="inlineStr">
        <is>
          <t>Farm &amp; City Vet</t>
        </is>
      </c>
      <c r="J93" t="inlineStr">
        <is>
          <t>Cash</t>
        </is>
      </c>
      <c r="K93" t="inlineStr">
        <is>
          <t>PIG-B04</t>
        </is>
      </c>
      <c r="M93" t="inlineStr">
        <is>
          <t>S01</t>
        </is>
      </c>
    </row>
    <row r="94">
      <c r="A94" t="inlineStr">
        <is>
          <t>2025-10-17</t>
        </is>
      </c>
      <c r="B94" t="inlineStr">
        <is>
          <t>poultry</t>
        </is>
      </c>
      <c r="C94" t="inlineStr">
        <is>
          <t>Vet &amp; Meds</t>
        </is>
      </c>
      <c r="D94" t="inlineStr">
        <is>
          <t>Newcastle LaSota</t>
        </is>
      </c>
      <c r="E94" t="n">
        <v>1</v>
      </c>
      <c r="F94" t="inlineStr">
        <is>
          <t>dose</t>
        </is>
      </c>
      <c r="G94" t="n">
        <v>17.5</v>
      </c>
      <c r="H94">
        <f>E94*G94</f>
        <v/>
      </c>
      <c r="I94" t="inlineStr">
        <is>
          <t>Farm &amp; City Vet</t>
        </is>
      </c>
      <c r="J94" t="inlineStr">
        <is>
          <t>Cash</t>
        </is>
      </c>
      <c r="K94" t="inlineStr">
        <is>
          <t>BRO-P01</t>
        </is>
      </c>
      <c r="M94" t="inlineStr">
        <is>
          <t>S02</t>
        </is>
      </c>
    </row>
    <row r="95">
      <c r="A95" t="inlineStr">
        <is>
          <t>2025-12-27</t>
        </is>
      </c>
      <c r="B95" t="inlineStr">
        <is>
          <t>poultry</t>
        </is>
      </c>
      <c r="C95" t="inlineStr">
        <is>
          <t>Vet &amp; Meds</t>
        </is>
      </c>
      <c r="D95" t="inlineStr">
        <is>
          <t>Newcastle LaSota</t>
        </is>
      </c>
      <c r="E95" t="n">
        <v>1</v>
      </c>
      <c r="F95" t="inlineStr">
        <is>
          <t>dose</t>
        </is>
      </c>
      <c r="G95" t="n">
        <v>18.2</v>
      </c>
      <c r="H95">
        <f>E95*G95</f>
        <v/>
      </c>
      <c r="I95" t="inlineStr">
        <is>
          <t>Farm &amp; City Vet</t>
        </is>
      </c>
      <c r="J95" t="inlineStr">
        <is>
          <t>Cash</t>
        </is>
      </c>
      <c r="K95" t="inlineStr">
        <is>
          <t>BRO-P02</t>
        </is>
      </c>
      <c r="M95" t="inlineStr">
        <is>
          <t>S02</t>
        </is>
      </c>
    </row>
    <row r="96">
      <c r="A96" t="inlineStr">
        <is>
          <t>2026-03-12</t>
        </is>
      </c>
      <c r="B96" t="inlineStr">
        <is>
          <t>poultry</t>
        </is>
      </c>
      <c r="C96" t="inlineStr">
        <is>
          <t>Vet &amp; Meds</t>
        </is>
      </c>
      <c r="D96" t="inlineStr">
        <is>
          <t>Newcastle LaSota</t>
        </is>
      </c>
      <c r="E96" t="n">
        <v>1</v>
      </c>
      <c r="F96" t="inlineStr">
        <is>
          <t>dose</t>
        </is>
      </c>
      <c r="G96" t="n">
        <v>17.5</v>
      </c>
      <c r="H96">
        <f>E96*G96</f>
        <v/>
      </c>
      <c r="I96" t="inlineStr">
        <is>
          <t>Farm &amp; City Vet</t>
        </is>
      </c>
      <c r="J96" t="inlineStr">
        <is>
          <t>Cash</t>
        </is>
      </c>
      <c r="K96" t="inlineStr">
        <is>
          <t>BRO-P03</t>
        </is>
      </c>
      <c r="M96" t="inlineStr">
        <is>
          <t>S02</t>
        </is>
      </c>
    </row>
    <row r="97">
      <c r="A97" t="inlineStr">
        <is>
          <t>2026-08-11</t>
        </is>
      </c>
      <c r="B97" t="inlineStr">
        <is>
          <t>poultry</t>
        </is>
      </c>
      <c r="C97" t="inlineStr">
        <is>
          <t>Vet &amp; Meds</t>
        </is>
      </c>
      <c r="D97" t="inlineStr">
        <is>
          <t>Newcastle LaSota</t>
        </is>
      </c>
      <c r="E97" t="n">
        <v>1</v>
      </c>
      <c r="F97" t="inlineStr">
        <is>
          <t>dose</t>
        </is>
      </c>
      <c r="G97" t="n">
        <v>17.85</v>
      </c>
      <c r="H97">
        <f>E97*G97</f>
        <v/>
      </c>
      <c r="I97" t="inlineStr">
        <is>
          <t>Farm &amp; City Vet</t>
        </is>
      </c>
      <c r="J97" t="inlineStr">
        <is>
          <t>Cash</t>
        </is>
      </c>
      <c r="K97" t="inlineStr">
        <is>
          <t>BRO-P04</t>
        </is>
      </c>
      <c r="M97" t="inlineStr">
        <is>
          <t>S02</t>
        </is>
      </c>
    </row>
    <row r="98">
      <c r="A98" t="inlineStr">
        <is>
          <t>2025-11-14</t>
        </is>
      </c>
      <c r="B98" t="inlineStr">
        <is>
          <t>crops</t>
        </is>
      </c>
      <c r="C98" t="inlineStr">
        <is>
          <t>Seed</t>
        </is>
      </c>
      <c r="D98" t="inlineStr">
        <is>
          <t>Maize seed (SC637)</t>
        </is>
      </c>
      <c r="E98" t="n">
        <v>150</v>
      </c>
      <c r="F98" t="inlineStr">
        <is>
          <t>kg</t>
        </is>
      </c>
      <c r="G98" t="n">
        <v>1.4</v>
      </c>
      <c r="H98">
        <f>E98*G98</f>
        <v/>
      </c>
      <c r="I98" t="inlineStr">
        <is>
          <t>SeedCo</t>
        </is>
      </c>
      <c r="J98" t="inlineStr">
        <is>
          <t>Bank</t>
        </is>
      </c>
      <c r="K98" t="inlineStr">
        <is>
          <t>MZ-PL1-25A</t>
        </is>
      </c>
      <c r="M98" t="inlineStr">
        <is>
          <t>S03</t>
        </is>
      </c>
    </row>
    <row r="99">
      <c r="A99" t="inlineStr">
        <is>
          <t>2025-11-15</t>
        </is>
      </c>
      <c r="B99" t="inlineStr">
        <is>
          <t>crops</t>
        </is>
      </c>
      <c r="C99" t="inlineStr">
        <is>
          <t>Chemicals</t>
        </is>
      </c>
      <c r="D99" t="inlineStr">
        <is>
          <t>Land prep - Land prep</t>
        </is>
      </c>
      <c r="E99" t="n">
        <v>1</v>
      </c>
      <c r="F99" t="inlineStr">
        <is>
          <t>kg</t>
        </is>
      </c>
      <c r="G99" t="n">
        <v>199</v>
      </c>
      <c r="H99">
        <f>E99*G99</f>
        <v/>
      </c>
      <c r="I99" t="inlineStr">
        <is>
          <t>Farm &amp; City</t>
        </is>
      </c>
      <c r="J99" t="inlineStr">
        <is>
          <t>Bank</t>
        </is>
      </c>
      <c r="K99" t="inlineStr">
        <is>
          <t>MZ-PL1-25A</t>
        </is>
      </c>
      <c r="M99" t="inlineStr">
        <is>
          <t>S03</t>
        </is>
      </c>
    </row>
    <row r="100">
      <c r="A100" t="inlineStr">
        <is>
          <t>2025-12-15</t>
        </is>
      </c>
      <c r="B100" t="inlineStr">
        <is>
          <t>crops</t>
        </is>
      </c>
      <c r="C100" t="inlineStr">
        <is>
          <t>Fertiliser</t>
        </is>
      </c>
      <c r="D100" t="inlineStr">
        <is>
          <t>Basal fert - Compound D</t>
        </is>
      </c>
      <c r="E100" t="n">
        <v>1800</v>
      </c>
      <c r="F100" t="inlineStr">
        <is>
          <t>kg</t>
        </is>
      </c>
      <c r="G100" t="n">
        <v>0.29</v>
      </c>
      <c r="H100">
        <f>E100*G100</f>
        <v/>
      </c>
      <c r="I100" t="inlineStr">
        <is>
          <t>Farm &amp; City</t>
        </is>
      </c>
      <c r="J100" t="inlineStr">
        <is>
          <t>Bank</t>
        </is>
      </c>
      <c r="K100" t="inlineStr">
        <is>
          <t>MZ-PL1-25A</t>
        </is>
      </c>
      <c r="M100" t="inlineStr">
        <is>
          <t>S03</t>
        </is>
      </c>
    </row>
    <row r="101">
      <c r="A101" t="inlineStr">
        <is>
          <t>2026-01-02</t>
        </is>
      </c>
      <c r="B101" t="inlineStr">
        <is>
          <t>crops</t>
        </is>
      </c>
      <c r="C101" t="inlineStr">
        <is>
          <t>Fertiliser</t>
        </is>
      </c>
      <c r="D101" t="inlineStr">
        <is>
          <t>Top dressing - AN</t>
        </is>
      </c>
      <c r="E101" t="n">
        <v>900</v>
      </c>
      <c r="F101" t="inlineStr">
        <is>
          <t>kg</t>
        </is>
      </c>
      <c r="G101" t="n">
        <v>0.41</v>
      </c>
      <c r="H101">
        <f>E101*G101</f>
        <v/>
      </c>
      <c r="I101" t="inlineStr">
        <is>
          <t>Farm &amp; City</t>
        </is>
      </c>
      <c r="J101" t="inlineStr">
        <is>
          <t>Bank</t>
        </is>
      </c>
      <c r="K101" t="inlineStr">
        <is>
          <t>MZ-PL1-25A</t>
        </is>
      </c>
      <c r="M101" t="inlineStr">
        <is>
          <t>S03</t>
        </is>
      </c>
    </row>
    <row r="102">
      <c r="A102" t="inlineStr">
        <is>
          <t>2026-01-31</t>
        </is>
      </c>
      <c r="B102" t="inlineStr">
        <is>
          <t>crops</t>
        </is>
      </c>
      <c r="C102" t="inlineStr">
        <is>
          <t>Chemicals</t>
        </is>
      </c>
      <c r="D102" t="inlineStr">
        <is>
          <t>Herbicide - Glyphosate</t>
        </is>
      </c>
      <c r="E102" t="n">
        <v>18</v>
      </c>
      <c r="F102" t="inlineStr">
        <is>
          <t>litre</t>
        </is>
      </c>
      <c r="G102" t="n">
        <v>7.72</v>
      </c>
      <c r="H102">
        <f>E102*G102</f>
        <v/>
      </c>
      <c r="I102" t="inlineStr">
        <is>
          <t>Farm &amp; City</t>
        </is>
      </c>
      <c r="J102" t="inlineStr">
        <is>
          <t>Bank</t>
        </is>
      </c>
      <c r="K102" t="inlineStr">
        <is>
          <t>MZ-PL1-25A</t>
        </is>
      </c>
      <c r="M102" t="inlineStr">
        <is>
          <t>S03</t>
        </is>
      </c>
    </row>
    <row r="103">
      <c r="A103" t="inlineStr">
        <is>
          <t>2025-11-22</t>
        </is>
      </c>
      <c r="B103" t="inlineStr">
        <is>
          <t>crops</t>
        </is>
      </c>
      <c r="C103" t="inlineStr">
        <is>
          <t>Seed</t>
        </is>
      </c>
      <c r="D103" t="inlineStr">
        <is>
          <t>Soyabean seed (SC Sequel)</t>
        </is>
      </c>
      <c r="E103" t="n">
        <v>480</v>
      </c>
      <c r="F103" t="inlineStr">
        <is>
          <t>kg</t>
        </is>
      </c>
      <c r="G103" t="n">
        <v>2</v>
      </c>
      <c r="H103">
        <f>E103*G103</f>
        <v/>
      </c>
      <c r="I103" t="inlineStr">
        <is>
          <t>SeedCo</t>
        </is>
      </c>
      <c r="J103" t="inlineStr">
        <is>
          <t>Bank</t>
        </is>
      </c>
      <c r="K103" t="inlineStr">
        <is>
          <t>SB-PL2-25A</t>
        </is>
      </c>
      <c r="M103" t="inlineStr">
        <is>
          <t>S03</t>
        </is>
      </c>
    </row>
    <row r="104">
      <c r="A104" t="inlineStr">
        <is>
          <t>2025-11-23</t>
        </is>
      </c>
      <c r="B104" t="inlineStr">
        <is>
          <t>crops</t>
        </is>
      </c>
      <c r="C104" t="inlineStr">
        <is>
          <t>Chemicals</t>
        </is>
      </c>
      <c r="D104" t="inlineStr">
        <is>
          <t>Land prep - Land prep</t>
        </is>
      </c>
      <c r="E104" t="n">
        <v>1</v>
      </c>
      <c r="F104" t="inlineStr">
        <is>
          <t>kg</t>
        </is>
      </c>
      <c r="G104" t="n">
        <v>261</v>
      </c>
      <c r="H104">
        <f>E104*G104</f>
        <v/>
      </c>
      <c r="I104" t="inlineStr">
        <is>
          <t>Farm &amp; City</t>
        </is>
      </c>
      <c r="J104" t="inlineStr">
        <is>
          <t>Bank</t>
        </is>
      </c>
      <c r="K104" t="inlineStr">
        <is>
          <t>SB-PL2-25A</t>
        </is>
      </c>
      <c r="M104" t="inlineStr">
        <is>
          <t>S03</t>
        </is>
      </c>
    </row>
    <row r="105">
      <c r="A105" t="inlineStr">
        <is>
          <t>2025-12-25</t>
        </is>
      </c>
      <c r="B105" t="inlineStr">
        <is>
          <t>crops</t>
        </is>
      </c>
      <c r="C105" t="inlineStr">
        <is>
          <t>Fertiliser</t>
        </is>
      </c>
      <c r="D105" t="inlineStr">
        <is>
          <t>Basal fert - Compound D</t>
        </is>
      </c>
      <c r="E105" t="n">
        <v>2400</v>
      </c>
      <c r="F105" t="inlineStr">
        <is>
          <t>kg</t>
        </is>
      </c>
      <c r="G105" t="n">
        <v>0.28</v>
      </c>
      <c r="H105">
        <f>E105*G105</f>
        <v/>
      </c>
      <c r="I105" t="inlineStr">
        <is>
          <t>Farm &amp; City</t>
        </is>
      </c>
      <c r="J105" t="inlineStr">
        <is>
          <t>Bank</t>
        </is>
      </c>
      <c r="K105" t="inlineStr">
        <is>
          <t>SB-PL2-25A</t>
        </is>
      </c>
      <c r="M105" t="inlineStr">
        <is>
          <t>S03</t>
        </is>
      </c>
    </row>
    <row r="106">
      <c r="A106" t="inlineStr">
        <is>
          <t>2026-01-24</t>
        </is>
      </c>
      <c r="B106" t="inlineStr">
        <is>
          <t>crops</t>
        </is>
      </c>
      <c r="C106" t="inlineStr">
        <is>
          <t>Fertiliser</t>
        </is>
      </c>
      <c r="D106" t="inlineStr">
        <is>
          <t>Top dressing - AN</t>
        </is>
      </c>
      <c r="E106" t="n">
        <v>1200</v>
      </c>
      <c r="F106" t="inlineStr">
        <is>
          <t>kg</t>
        </is>
      </c>
      <c r="G106" t="n">
        <v>0.42</v>
      </c>
      <c r="H106">
        <f>E106*G106</f>
        <v/>
      </c>
      <c r="I106" t="inlineStr">
        <is>
          <t>Farm &amp; City</t>
        </is>
      </c>
      <c r="J106" t="inlineStr">
        <is>
          <t>Bank</t>
        </is>
      </c>
      <c r="K106" t="inlineStr">
        <is>
          <t>SB-PL2-25A</t>
        </is>
      </c>
      <c r="M106" t="inlineStr">
        <is>
          <t>S03</t>
        </is>
      </c>
    </row>
    <row r="107">
      <c r="A107" t="inlineStr">
        <is>
          <t>2026-02-11</t>
        </is>
      </c>
      <c r="B107" t="inlineStr">
        <is>
          <t>crops</t>
        </is>
      </c>
      <c r="C107" t="inlineStr">
        <is>
          <t>Chemicals</t>
        </is>
      </c>
      <c r="D107" t="inlineStr">
        <is>
          <t>Herbicide - Glyphosate</t>
        </is>
      </c>
      <c r="E107" t="n">
        <v>24</v>
      </c>
      <c r="F107" t="inlineStr">
        <is>
          <t>litre</t>
        </is>
      </c>
      <c r="G107" t="n">
        <v>7.46</v>
      </c>
      <c r="H107">
        <f>E107*G107</f>
        <v/>
      </c>
      <c r="I107" t="inlineStr">
        <is>
          <t>Farm &amp; City</t>
        </is>
      </c>
      <c r="J107" t="inlineStr">
        <is>
          <t>Bank</t>
        </is>
      </c>
      <c r="K107" t="inlineStr">
        <is>
          <t>SB-PL2-25A</t>
        </is>
      </c>
      <c r="M107" t="inlineStr">
        <is>
          <t>S03</t>
        </is>
      </c>
    </row>
    <row r="108">
      <c r="A108" t="inlineStr">
        <is>
          <t>2025-11-26</t>
        </is>
      </c>
      <c r="B108" t="inlineStr">
        <is>
          <t>crops</t>
        </is>
      </c>
      <c r="C108" t="inlineStr">
        <is>
          <t>Seed</t>
        </is>
      </c>
      <c r="D108" t="inlineStr">
        <is>
          <t>Groundnuts seed (Nyanda)</t>
        </is>
      </c>
      <c r="E108" t="n">
        <v>300</v>
      </c>
      <c r="F108" t="inlineStr">
        <is>
          <t>kg</t>
        </is>
      </c>
      <c r="G108" t="n">
        <v>1.5</v>
      </c>
      <c r="H108">
        <f>E108*G108</f>
        <v/>
      </c>
      <c r="I108" t="inlineStr">
        <is>
          <t>SeedCo</t>
        </is>
      </c>
      <c r="J108" t="inlineStr">
        <is>
          <t>Bank</t>
        </is>
      </c>
      <c r="K108" t="inlineStr">
        <is>
          <t>GN-PL3-25A</t>
        </is>
      </c>
      <c r="M108" t="inlineStr">
        <is>
          <t>S03</t>
        </is>
      </c>
    </row>
    <row r="109">
      <c r="A109" t="inlineStr">
        <is>
          <t>2025-11-27</t>
        </is>
      </c>
      <c r="B109" t="inlineStr">
        <is>
          <t>crops</t>
        </is>
      </c>
      <c r="C109" t="inlineStr">
        <is>
          <t>Chemicals</t>
        </is>
      </c>
      <c r="D109" t="inlineStr">
        <is>
          <t>Land prep - Land prep</t>
        </is>
      </c>
      <c r="E109" t="n">
        <v>1</v>
      </c>
      <c r="F109" t="inlineStr">
        <is>
          <t>kg</t>
        </is>
      </c>
      <c r="G109" t="n">
        <v>177</v>
      </c>
      <c r="H109">
        <f>E109*G109</f>
        <v/>
      </c>
      <c r="I109" t="inlineStr">
        <is>
          <t>Farm &amp; City</t>
        </is>
      </c>
      <c r="J109" t="inlineStr">
        <is>
          <t>Bank</t>
        </is>
      </c>
      <c r="K109" t="inlineStr">
        <is>
          <t>GN-PL3-25A</t>
        </is>
      </c>
      <c r="M109" t="inlineStr">
        <is>
          <t>S03</t>
        </is>
      </c>
    </row>
    <row r="110">
      <c r="A110" t="inlineStr">
        <is>
          <t>2026-01-01</t>
        </is>
      </c>
      <c r="B110" t="inlineStr">
        <is>
          <t>crops</t>
        </is>
      </c>
      <c r="C110" t="inlineStr">
        <is>
          <t>Fertiliser</t>
        </is>
      </c>
      <c r="D110" t="inlineStr">
        <is>
          <t>Basal fert - Compound D</t>
        </is>
      </c>
      <c r="E110" t="n">
        <v>1500</v>
      </c>
      <c r="F110" t="inlineStr">
        <is>
          <t>kg</t>
        </is>
      </c>
      <c r="G110" t="n">
        <v>0.29</v>
      </c>
      <c r="H110">
        <f>E110*G110</f>
        <v/>
      </c>
      <c r="I110" t="inlineStr">
        <is>
          <t>Farm &amp; City</t>
        </is>
      </c>
      <c r="J110" t="inlineStr">
        <is>
          <t>Bank</t>
        </is>
      </c>
      <c r="K110" t="inlineStr">
        <is>
          <t>GN-PL3-25A</t>
        </is>
      </c>
      <c r="M110" t="inlineStr">
        <is>
          <t>S03</t>
        </is>
      </c>
    </row>
    <row r="111">
      <c r="A111" t="inlineStr">
        <is>
          <t>2026-01-26</t>
        </is>
      </c>
      <c r="B111" t="inlineStr">
        <is>
          <t>crops</t>
        </is>
      </c>
      <c r="C111" t="inlineStr">
        <is>
          <t>Fertiliser</t>
        </is>
      </c>
      <c r="D111" t="inlineStr">
        <is>
          <t>Top dressing - AN</t>
        </is>
      </c>
      <c r="E111" t="n">
        <v>750</v>
      </c>
      <c r="F111" t="inlineStr">
        <is>
          <t>kg</t>
        </is>
      </c>
      <c r="G111" t="n">
        <v>0.45</v>
      </c>
      <c r="H111">
        <f>E111*G111</f>
        <v/>
      </c>
      <c r="I111" t="inlineStr">
        <is>
          <t>Farm &amp; City</t>
        </is>
      </c>
      <c r="J111" t="inlineStr">
        <is>
          <t>Bank</t>
        </is>
      </c>
      <c r="K111" t="inlineStr">
        <is>
          <t>GN-PL3-25A</t>
        </is>
      </c>
      <c r="M111" t="inlineStr">
        <is>
          <t>S03</t>
        </is>
      </c>
    </row>
    <row r="112">
      <c r="A112" t="inlineStr">
        <is>
          <t>2026-02-13</t>
        </is>
      </c>
      <c r="B112" t="inlineStr">
        <is>
          <t>crops</t>
        </is>
      </c>
      <c r="C112" t="inlineStr">
        <is>
          <t>Chemicals</t>
        </is>
      </c>
      <c r="D112" t="inlineStr">
        <is>
          <t>Herbicide - Glyphosate</t>
        </is>
      </c>
      <c r="E112" t="n">
        <v>15</v>
      </c>
      <c r="F112" t="inlineStr">
        <is>
          <t>litre</t>
        </is>
      </c>
      <c r="G112" t="n">
        <v>7.6</v>
      </c>
      <c r="H112">
        <f>E112*G112</f>
        <v/>
      </c>
      <c r="I112" t="inlineStr">
        <is>
          <t>Farm &amp; City</t>
        </is>
      </c>
      <c r="J112" t="inlineStr">
        <is>
          <t>Bank</t>
        </is>
      </c>
      <c r="K112" t="inlineStr">
        <is>
          <t>GN-PL3-25A</t>
        </is>
      </c>
      <c r="M112" t="inlineStr">
        <is>
          <t>S03</t>
        </is>
      </c>
    </row>
    <row r="113">
      <c r="A113" t="inlineStr">
        <is>
          <t>2026-05-04</t>
        </is>
      </c>
      <c r="B113" t="inlineStr">
        <is>
          <t>crops</t>
        </is>
      </c>
      <c r="C113" t="inlineStr">
        <is>
          <t>Seed</t>
        </is>
      </c>
      <c r="D113" t="inlineStr">
        <is>
          <t>Tomatoes seed (Roma VF)</t>
        </is>
      </c>
      <c r="E113" t="n">
        <v>0.3</v>
      </c>
      <c r="F113" t="inlineStr">
        <is>
          <t>kg</t>
        </is>
      </c>
      <c r="G113" t="n">
        <v>600</v>
      </c>
      <c r="H113">
        <f>E113*G113</f>
        <v/>
      </c>
      <c r="I113" t="inlineStr">
        <is>
          <t>SeedCo</t>
        </is>
      </c>
      <c r="J113" t="inlineStr">
        <is>
          <t>Bank</t>
        </is>
      </c>
      <c r="K113" t="inlineStr">
        <is>
          <t>TM-PL1-26A</t>
        </is>
      </c>
      <c r="M113" t="inlineStr">
        <is>
          <t>S03</t>
        </is>
      </c>
    </row>
    <row r="114">
      <c r="A114" t="inlineStr">
        <is>
          <t>2026-05-05</t>
        </is>
      </c>
      <c r="B114" t="inlineStr">
        <is>
          <t>crops</t>
        </is>
      </c>
      <c r="C114" t="inlineStr">
        <is>
          <t>Chemicals</t>
        </is>
      </c>
      <c r="D114" t="inlineStr">
        <is>
          <t>Land prep - Land prep</t>
        </is>
      </c>
      <c r="E114" t="n">
        <v>1</v>
      </c>
      <c r="F114" t="inlineStr">
        <is>
          <t>kg</t>
        </is>
      </c>
      <c r="G114" t="n">
        <v>75</v>
      </c>
      <c r="H114">
        <f>E114*G114</f>
        <v/>
      </c>
      <c r="I114" t="inlineStr">
        <is>
          <t>Farm &amp; City</t>
        </is>
      </c>
      <c r="J114" t="inlineStr">
        <is>
          <t>Bank</t>
        </is>
      </c>
      <c r="K114" t="inlineStr">
        <is>
          <t>TM-PL1-26A</t>
        </is>
      </c>
      <c r="M114" t="inlineStr">
        <is>
          <t>S03</t>
        </is>
      </c>
    </row>
    <row r="115">
      <c r="A115" t="inlineStr">
        <is>
          <t>2026-06-02</t>
        </is>
      </c>
      <c r="B115" t="inlineStr">
        <is>
          <t>crops</t>
        </is>
      </c>
      <c r="C115" t="inlineStr">
        <is>
          <t>Fertiliser</t>
        </is>
      </c>
      <c r="D115" t="inlineStr">
        <is>
          <t>Basal fert - Compound D</t>
        </is>
      </c>
      <c r="E115" t="n">
        <v>600</v>
      </c>
      <c r="F115" t="inlineStr">
        <is>
          <t>kg</t>
        </is>
      </c>
      <c r="G115" t="n">
        <v>0.31</v>
      </c>
      <c r="H115">
        <f>E115*G115</f>
        <v/>
      </c>
      <c r="I115" t="inlineStr">
        <is>
          <t>Farm &amp; City</t>
        </is>
      </c>
      <c r="J115" t="inlineStr">
        <is>
          <t>Bank</t>
        </is>
      </c>
      <c r="K115" t="inlineStr">
        <is>
          <t>TM-PL1-26A</t>
        </is>
      </c>
      <c r="M115" t="inlineStr">
        <is>
          <t>S03</t>
        </is>
      </c>
    </row>
    <row r="116">
      <c r="A116" t="inlineStr">
        <is>
          <t>2026-06-23</t>
        </is>
      </c>
      <c r="B116" t="inlineStr">
        <is>
          <t>crops</t>
        </is>
      </c>
      <c r="C116" t="inlineStr">
        <is>
          <t>Fertiliser</t>
        </is>
      </c>
      <c r="D116" t="inlineStr">
        <is>
          <t>Top dressing - AN</t>
        </is>
      </c>
      <c r="E116" t="n">
        <v>300</v>
      </c>
      <c r="F116" t="inlineStr">
        <is>
          <t>kg</t>
        </is>
      </c>
      <c r="G116" t="n">
        <v>0.42</v>
      </c>
      <c r="H116">
        <f>E116*G116</f>
        <v/>
      </c>
      <c r="I116" t="inlineStr">
        <is>
          <t>Farm &amp; City</t>
        </is>
      </c>
      <c r="J116" t="inlineStr">
        <is>
          <t>Bank</t>
        </is>
      </c>
      <c r="K116" t="inlineStr">
        <is>
          <t>TM-PL1-26A</t>
        </is>
      </c>
      <c r="M116" t="inlineStr">
        <is>
          <t>S03</t>
        </is>
      </c>
    </row>
    <row r="117">
      <c r="A117" t="inlineStr">
        <is>
          <t>2026-07-12</t>
        </is>
      </c>
      <c r="B117" t="inlineStr">
        <is>
          <t>crops</t>
        </is>
      </c>
      <c r="C117" t="inlineStr">
        <is>
          <t>Chemicals</t>
        </is>
      </c>
      <c r="D117" t="inlineStr">
        <is>
          <t>Herbicide - Glyphosate</t>
        </is>
      </c>
      <c r="E117" t="n">
        <v>6</v>
      </c>
      <c r="F117" t="inlineStr">
        <is>
          <t>litre</t>
        </is>
      </c>
      <c r="G117" t="n">
        <v>7.5</v>
      </c>
      <c r="H117">
        <f>E117*G117</f>
        <v/>
      </c>
      <c r="I117" t="inlineStr">
        <is>
          <t>Farm &amp; City</t>
        </is>
      </c>
      <c r="J117" t="inlineStr">
        <is>
          <t>Bank</t>
        </is>
      </c>
      <c r="K117" t="inlineStr">
        <is>
          <t>TM-PL1-26A</t>
        </is>
      </c>
      <c r="M117" t="inlineStr">
        <is>
          <t>S03</t>
        </is>
      </c>
    </row>
    <row r="118">
      <c r="A118" t="inlineStr">
        <is>
          <t>2026-05-26</t>
        </is>
      </c>
      <c r="B118" t="inlineStr">
        <is>
          <t>crops</t>
        </is>
      </c>
      <c r="C118" t="inlineStr">
        <is>
          <t>Seed</t>
        </is>
      </c>
      <c r="D118" t="inlineStr">
        <is>
          <t>Tomatoes seed (Roma VF)</t>
        </is>
      </c>
      <c r="E118" t="n">
        <v>0.3</v>
      </c>
      <c r="F118" t="inlineStr">
        <is>
          <t>kg</t>
        </is>
      </c>
      <c r="G118" t="n">
        <v>600</v>
      </c>
      <c r="H118">
        <f>E118*G118</f>
        <v/>
      </c>
      <c r="I118" t="inlineStr">
        <is>
          <t>SeedCo</t>
        </is>
      </c>
      <c r="J118" t="inlineStr">
        <is>
          <t>Bank</t>
        </is>
      </c>
      <c r="K118" t="inlineStr">
        <is>
          <t>TM-PL2-26A</t>
        </is>
      </c>
      <c r="M118" t="inlineStr">
        <is>
          <t>S03</t>
        </is>
      </c>
    </row>
    <row r="119">
      <c r="A119" t="inlineStr">
        <is>
          <t>2026-05-27</t>
        </is>
      </c>
      <c r="B119" t="inlineStr">
        <is>
          <t>crops</t>
        </is>
      </c>
      <c r="C119" t="inlineStr">
        <is>
          <t>Chemicals</t>
        </is>
      </c>
      <c r="D119" t="inlineStr">
        <is>
          <t>Land prep - Land prep</t>
        </is>
      </c>
      <c r="E119" t="n">
        <v>1</v>
      </c>
      <c r="F119" t="inlineStr">
        <is>
          <t>kg</t>
        </is>
      </c>
      <c r="G119" t="n">
        <v>64</v>
      </c>
      <c r="H119">
        <f>E119*G119</f>
        <v/>
      </c>
      <c r="I119" t="inlineStr">
        <is>
          <t>Farm &amp; City</t>
        </is>
      </c>
      <c r="J119" t="inlineStr">
        <is>
          <t>Bank</t>
        </is>
      </c>
      <c r="K119" t="inlineStr">
        <is>
          <t>TM-PL2-26A</t>
        </is>
      </c>
      <c r="M119" t="inlineStr">
        <is>
          <t>S03</t>
        </is>
      </c>
    </row>
    <row r="120">
      <c r="A120" t="inlineStr">
        <is>
          <t>2026-06-28</t>
        </is>
      </c>
      <c r="B120" t="inlineStr">
        <is>
          <t>crops</t>
        </is>
      </c>
      <c r="C120" t="inlineStr">
        <is>
          <t>Fertiliser</t>
        </is>
      </c>
      <c r="D120" t="inlineStr">
        <is>
          <t>Basal fert - Compound D</t>
        </is>
      </c>
      <c r="E120" t="n">
        <v>600</v>
      </c>
      <c r="F120" t="inlineStr">
        <is>
          <t>kg</t>
        </is>
      </c>
      <c r="G120" t="n">
        <v>0.31</v>
      </c>
      <c r="H120">
        <f>E120*G120</f>
        <v/>
      </c>
      <c r="I120" t="inlineStr">
        <is>
          <t>Farm &amp; City</t>
        </is>
      </c>
      <c r="J120" t="inlineStr">
        <is>
          <t>Bank</t>
        </is>
      </c>
      <c r="K120" t="inlineStr">
        <is>
          <t>TM-PL2-26A</t>
        </is>
      </c>
      <c r="M120" t="inlineStr">
        <is>
          <t>S03</t>
        </is>
      </c>
    </row>
    <row r="121">
      <c r="A121" t="inlineStr">
        <is>
          <t>2026-07-16</t>
        </is>
      </c>
      <c r="B121" t="inlineStr">
        <is>
          <t>crops</t>
        </is>
      </c>
      <c r="C121" t="inlineStr">
        <is>
          <t>Fertiliser</t>
        </is>
      </c>
      <c r="D121" t="inlineStr">
        <is>
          <t>Top dressing - AN</t>
        </is>
      </c>
      <c r="E121" t="n">
        <v>300</v>
      </c>
      <c r="F121" t="inlineStr">
        <is>
          <t>kg</t>
        </is>
      </c>
      <c r="G121" t="n">
        <v>0.46</v>
      </c>
      <c r="H121">
        <f>E121*G121</f>
        <v/>
      </c>
      <c r="I121" t="inlineStr">
        <is>
          <t>Farm &amp; City</t>
        </is>
      </c>
      <c r="J121" t="inlineStr">
        <is>
          <t>Bank</t>
        </is>
      </c>
      <c r="K121" t="inlineStr">
        <is>
          <t>TM-PL2-26A</t>
        </is>
      </c>
      <c r="M121" t="inlineStr">
        <is>
          <t>S03</t>
        </is>
      </c>
    </row>
    <row r="122">
      <c r="A122" t="inlineStr">
        <is>
          <t>2026-08-06</t>
        </is>
      </c>
      <c r="B122" t="inlineStr">
        <is>
          <t>crops</t>
        </is>
      </c>
      <c r="C122" t="inlineStr">
        <is>
          <t>Chemicals</t>
        </is>
      </c>
      <c r="D122" t="inlineStr">
        <is>
          <t>Herbicide - Glyphosate</t>
        </is>
      </c>
      <c r="E122" t="n">
        <v>6</v>
      </c>
      <c r="F122" t="inlineStr">
        <is>
          <t>litre</t>
        </is>
      </c>
      <c r="G122" t="n">
        <v>7.5</v>
      </c>
      <c r="H122">
        <f>E122*G122</f>
        <v/>
      </c>
      <c r="I122" t="inlineStr">
        <is>
          <t>Farm &amp; City</t>
        </is>
      </c>
      <c r="J122" t="inlineStr">
        <is>
          <t>Bank</t>
        </is>
      </c>
      <c r="K122" t="inlineStr">
        <is>
          <t>TM-PL2-26A</t>
        </is>
      </c>
      <c r="M122" t="inlineStr">
        <is>
          <t>S03</t>
        </is>
      </c>
    </row>
    <row r="123">
      <c r="A123" t="inlineStr">
        <is>
          <t>2025-10-01</t>
        </is>
      </c>
      <c r="B123" t="inlineStr">
        <is>
          <t>shared</t>
        </is>
      </c>
      <c r="C123" t="inlineStr">
        <is>
          <t>Fuel</t>
        </is>
      </c>
      <c r="D123" t="inlineStr">
        <is>
          <t>Diesel - generator/vehicle</t>
        </is>
      </c>
      <c r="E123" t="n">
        <v>46</v>
      </c>
      <c r="F123" t="inlineStr">
        <is>
          <t>litre</t>
        </is>
      </c>
      <c r="G123" t="n">
        <v>1.52</v>
      </c>
      <c r="H123">
        <f>E123*G123</f>
        <v/>
      </c>
      <c r="I123" t="inlineStr">
        <is>
          <t>Puma Energy Goromonzi</t>
        </is>
      </c>
      <c r="J123" t="inlineStr">
        <is>
          <t>Cash</t>
        </is>
      </c>
      <c r="M123" t="inlineStr">
        <is>
          <t>S04</t>
        </is>
      </c>
    </row>
    <row r="124">
      <c r="A124" t="inlineStr">
        <is>
          <t>2025-10-01</t>
        </is>
      </c>
      <c r="B124" t="inlineStr">
        <is>
          <t>shared</t>
        </is>
      </c>
      <c r="C124" t="inlineStr">
        <is>
          <t>Electricity</t>
        </is>
      </c>
      <c r="D124" t="inlineStr">
        <is>
          <t>ZESA prepaid token</t>
        </is>
      </c>
      <c r="E124" t="n">
        <v>1</v>
      </c>
      <c r="F124" t="inlineStr">
        <is>
          <t>trip</t>
        </is>
      </c>
      <c r="G124" t="n">
        <v>67.33</v>
      </c>
      <c r="H124">
        <f>E124*G124</f>
        <v/>
      </c>
      <c r="I124" t="inlineStr">
        <is>
          <t>ZESA</t>
        </is>
      </c>
      <c r="J124" t="inlineStr">
        <is>
          <t>EcoCash</t>
        </is>
      </c>
      <c r="M124" t="inlineStr">
        <is>
          <t>S04</t>
        </is>
      </c>
    </row>
    <row r="125">
      <c r="A125" t="inlineStr">
        <is>
          <t>2025-10-31</t>
        </is>
      </c>
      <c r="B125" t="inlineStr">
        <is>
          <t>shared</t>
        </is>
      </c>
      <c r="C125" t="inlineStr">
        <is>
          <t>Fuel</t>
        </is>
      </c>
      <c r="D125" t="inlineStr">
        <is>
          <t>Diesel - generator/vehicle</t>
        </is>
      </c>
      <c r="E125" t="n">
        <v>44</v>
      </c>
      <c r="F125" t="inlineStr">
        <is>
          <t>litre</t>
        </is>
      </c>
      <c r="G125" t="n">
        <v>1.6</v>
      </c>
      <c r="H125">
        <f>E125*G125</f>
        <v/>
      </c>
      <c r="I125" t="inlineStr">
        <is>
          <t>Puma Energy Goromonzi</t>
        </is>
      </c>
      <c r="J125" t="inlineStr">
        <is>
          <t>Cash</t>
        </is>
      </c>
      <c r="M125" t="inlineStr">
        <is>
          <t>S04</t>
        </is>
      </c>
    </row>
    <row r="126">
      <c r="A126" t="inlineStr">
        <is>
          <t>2025-10-31</t>
        </is>
      </c>
      <c r="B126" t="inlineStr">
        <is>
          <t>shared</t>
        </is>
      </c>
      <c r="C126" t="inlineStr">
        <is>
          <t>Electricity</t>
        </is>
      </c>
      <c r="D126" t="inlineStr">
        <is>
          <t>ZESA prepaid token</t>
        </is>
      </c>
      <c r="E126" t="n">
        <v>1</v>
      </c>
      <c r="F126" t="inlineStr">
        <is>
          <t>trip</t>
        </is>
      </c>
      <c r="G126" t="n">
        <v>69.65000000000001</v>
      </c>
      <c r="H126">
        <f>E126*G126</f>
        <v/>
      </c>
      <c r="I126" t="inlineStr">
        <is>
          <t>ZESA</t>
        </is>
      </c>
      <c r="J126" t="inlineStr">
        <is>
          <t>EcoCash</t>
        </is>
      </c>
      <c r="M126" t="inlineStr">
        <is>
          <t>S04</t>
        </is>
      </c>
    </row>
    <row r="127">
      <c r="A127" t="inlineStr">
        <is>
          <t>2025-11-30</t>
        </is>
      </c>
      <c r="B127" t="inlineStr">
        <is>
          <t>shared</t>
        </is>
      </c>
      <c r="C127" t="inlineStr">
        <is>
          <t>Fuel</t>
        </is>
      </c>
      <c r="D127" t="inlineStr">
        <is>
          <t>Diesel - generator/vehicle</t>
        </is>
      </c>
      <c r="E127" t="n">
        <v>37</v>
      </c>
      <c r="F127" t="inlineStr">
        <is>
          <t>litre</t>
        </is>
      </c>
      <c r="G127" t="n">
        <v>1.55</v>
      </c>
      <c r="H127">
        <f>E127*G127</f>
        <v/>
      </c>
      <c r="I127" t="inlineStr">
        <is>
          <t>Puma Energy Goromonzi</t>
        </is>
      </c>
      <c r="J127" t="inlineStr">
        <is>
          <t>Cash</t>
        </is>
      </c>
      <c r="M127" t="inlineStr">
        <is>
          <t>S04</t>
        </is>
      </c>
    </row>
    <row r="128">
      <c r="A128" t="inlineStr">
        <is>
          <t>2025-11-30</t>
        </is>
      </c>
      <c r="B128" t="inlineStr">
        <is>
          <t>shared</t>
        </is>
      </c>
      <c r="C128" t="inlineStr">
        <is>
          <t>Electricity</t>
        </is>
      </c>
      <c r="D128" t="inlineStr">
        <is>
          <t>ZESA prepaid token</t>
        </is>
      </c>
      <c r="E128" t="n">
        <v>1</v>
      </c>
      <c r="F128" t="inlineStr">
        <is>
          <t>trip</t>
        </is>
      </c>
      <c r="G128" t="n">
        <v>61.94</v>
      </c>
      <c r="H128">
        <f>E128*G128</f>
        <v/>
      </c>
      <c r="I128" t="inlineStr">
        <is>
          <t>ZESA</t>
        </is>
      </c>
      <c r="J128" t="inlineStr">
        <is>
          <t>EcoCash</t>
        </is>
      </c>
      <c r="M128" t="inlineStr">
        <is>
          <t>S04</t>
        </is>
      </c>
    </row>
    <row r="129">
      <c r="A129" t="inlineStr">
        <is>
          <t>2025-12-30</t>
        </is>
      </c>
      <c r="B129" t="inlineStr">
        <is>
          <t>shared</t>
        </is>
      </c>
      <c r="C129" t="inlineStr">
        <is>
          <t>Fuel</t>
        </is>
      </c>
      <c r="D129" t="inlineStr">
        <is>
          <t>Diesel - generator/vehicle</t>
        </is>
      </c>
      <c r="E129" t="n">
        <v>34</v>
      </c>
      <c r="F129" t="inlineStr">
        <is>
          <t>litre</t>
        </is>
      </c>
      <c r="G129" t="n">
        <v>1.57</v>
      </c>
      <c r="H129">
        <f>E129*G129</f>
        <v/>
      </c>
      <c r="I129" t="inlineStr">
        <is>
          <t>Puma Energy Goromonzi</t>
        </is>
      </c>
      <c r="J129" t="inlineStr">
        <is>
          <t>Cash</t>
        </is>
      </c>
      <c r="M129" t="inlineStr">
        <is>
          <t>S04</t>
        </is>
      </c>
    </row>
    <row r="130">
      <c r="A130" t="inlineStr">
        <is>
          <t>2025-12-30</t>
        </is>
      </c>
      <c r="B130" t="inlineStr">
        <is>
          <t>shared</t>
        </is>
      </c>
      <c r="C130" t="inlineStr">
        <is>
          <t>Electricity</t>
        </is>
      </c>
      <c r="D130" t="inlineStr">
        <is>
          <t>ZESA prepaid token</t>
        </is>
      </c>
      <c r="E130" t="n">
        <v>1</v>
      </c>
      <c r="F130" t="inlineStr">
        <is>
          <t>trip</t>
        </is>
      </c>
      <c r="G130" t="n">
        <v>63.62</v>
      </c>
      <c r="H130">
        <f>E130*G130</f>
        <v/>
      </c>
      <c r="I130" t="inlineStr">
        <is>
          <t>ZESA</t>
        </is>
      </c>
      <c r="J130" t="inlineStr">
        <is>
          <t>EcoCash</t>
        </is>
      </c>
      <c r="M130" t="inlineStr">
        <is>
          <t>S04</t>
        </is>
      </c>
    </row>
    <row r="131">
      <c r="A131" t="inlineStr">
        <is>
          <t>2026-01-29</t>
        </is>
      </c>
      <c r="B131" t="inlineStr">
        <is>
          <t>shared</t>
        </is>
      </c>
      <c r="C131" t="inlineStr">
        <is>
          <t>Fuel</t>
        </is>
      </c>
      <c r="D131" t="inlineStr">
        <is>
          <t>Diesel - generator/vehicle</t>
        </is>
      </c>
      <c r="E131" t="n">
        <v>45</v>
      </c>
      <c r="F131" t="inlineStr">
        <is>
          <t>litre</t>
        </is>
      </c>
      <c r="G131" t="n">
        <v>1.62</v>
      </c>
      <c r="H131">
        <f>E131*G131</f>
        <v/>
      </c>
      <c r="I131" t="inlineStr">
        <is>
          <t>Puma Energy Goromonzi</t>
        </is>
      </c>
      <c r="J131" t="inlineStr">
        <is>
          <t>Cash</t>
        </is>
      </c>
      <c r="M131" t="inlineStr">
        <is>
          <t>S04</t>
        </is>
      </c>
    </row>
    <row r="132">
      <c r="A132" t="inlineStr">
        <is>
          <t>2026-01-29</t>
        </is>
      </c>
      <c r="B132" t="inlineStr">
        <is>
          <t>shared</t>
        </is>
      </c>
      <c r="C132" t="inlineStr">
        <is>
          <t>Electricity</t>
        </is>
      </c>
      <c r="D132" t="inlineStr">
        <is>
          <t>ZESA prepaid token</t>
        </is>
      </c>
      <c r="E132" t="n">
        <v>1</v>
      </c>
      <c r="F132" t="inlineStr">
        <is>
          <t>trip</t>
        </is>
      </c>
      <c r="G132" t="n">
        <v>70.97</v>
      </c>
      <c r="H132">
        <f>E132*G132</f>
        <v/>
      </c>
      <c r="I132" t="inlineStr">
        <is>
          <t>ZESA</t>
        </is>
      </c>
      <c r="J132" t="inlineStr">
        <is>
          <t>EcoCash</t>
        </is>
      </c>
      <c r="M132" t="inlineStr">
        <is>
          <t>S04</t>
        </is>
      </c>
    </row>
    <row r="133">
      <c r="A133" t="inlineStr">
        <is>
          <t>2026-02-28</t>
        </is>
      </c>
      <c r="B133" t="inlineStr">
        <is>
          <t>shared</t>
        </is>
      </c>
      <c r="C133" t="inlineStr">
        <is>
          <t>Fuel</t>
        </is>
      </c>
      <c r="D133" t="inlineStr">
        <is>
          <t>Diesel - generator/vehicle</t>
        </is>
      </c>
      <c r="E133" t="n">
        <v>40</v>
      </c>
      <c r="F133" t="inlineStr">
        <is>
          <t>litre</t>
        </is>
      </c>
      <c r="G133" t="n">
        <v>1.61</v>
      </c>
      <c r="H133">
        <f>E133*G133</f>
        <v/>
      </c>
      <c r="I133" t="inlineStr">
        <is>
          <t>Puma Energy Goromonzi</t>
        </is>
      </c>
      <c r="J133" t="inlineStr">
        <is>
          <t>Cash</t>
        </is>
      </c>
      <c r="M133" t="inlineStr">
        <is>
          <t>S04</t>
        </is>
      </c>
    </row>
    <row r="134">
      <c r="A134" t="inlineStr">
        <is>
          <t>2026-02-28</t>
        </is>
      </c>
      <c r="B134" t="inlineStr">
        <is>
          <t>shared</t>
        </is>
      </c>
      <c r="C134" t="inlineStr">
        <is>
          <t>Electricity</t>
        </is>
      </c>
      <c r="D134" t="inlineStr">
        <is>
          <t>ZESA prepaid token</t>
        </is>
      </c>
      <c r="E134" t="n">
        <v>1</v>
      </c>
      <c r="F134" t="inlineStr">
        <is>
          <t>trip</t>
        </is>
      </c>
      <c r="G134" t="n">
        <v>70.66</v>
      </c>
      <c r="H134">
        <f>E134*G134</f>
        <v/>
      </c>
      <c r="I134" t="inlineStr">
        <is>
          <t>ZESA</t>
        </is>
      </c>
      <c r="J134" t="inlineStr">
        <is>
          <t>EcoCash</t>
        </is>
      </c>
      <c r="M134" t="inlineStr">
        <is>
          <t>S04</t>
        </is>
      </c>
    </row>
    <row r="135">
      <c r="A135" t="inlineStr">
        <is>
          <t>2026-03-30</t>
        </is>
      </c>
      <c r="B135" t="inlineStr">
        <is>
          <t>shared</t>
        </is>
      </c>
      <c r="C135" t="inlineStr">
        <is>
          <t>Fuel</t>
        </is>
      </c>
      <c r="D135" t="inlineStr">
        <is>
          <t>Diesel - generator/vehicle</t>
        </is>
      </c>
      <c r="E135" t="n">
        <v>45</v>
      </c>
      <c r="F135" t="inlineStr">
        <is>
          <t>litre</t>
        </is>
      </c>
      <c r="G135" t="n">
        <v>1.6</v>
      </c>
      <c r="H135">
        <f>E135*G135</f>
        <v/>
      </c>
      <c r="I135" t="inlineStr">
        <is>
          <t>Puma Energy Goromonzi</t>
        </is>
      </c>
      <c r="J135" t="inlineStr">
        <is>
          <t>Cash</t>
        </is>
      </c>
      <c r="M135" t="inlineStr">
        <is>
          <t>S04</t>
        </is>
      </c>
    </row>
    <row r="136">
      <c r="A136" t="inlineStr">
        <is>
          <t>2026-03-30</t>
        </is>
      </c>
      <c r="B136" t="inlineStr">
        <is>
          <t>shared</t>
        </is>
      </c>
      <c r="C136" t="inlineStr">
        <is>
          <t>Electricity</t>
        </is>
      </c>
      <c r="D136" t="inlineStr">
        <is>
          <t>ZESA prepaid token</t>
        </is>
      </c>
      <c r="E136" t="n">
        <v>1</v>
      </c>
      <c r="F136" t="inlineStr">
        <is>
          <t>trip</t>
        </is>
      </c>
      <c r="G136" t="n">
        <v>59.25</v>
      </c>
      <c r="H136">
        <f>E136*G136</f>
        <v/>
      </c>
      <c r="I136" t="inlineStr">
        <is>
          <t>ZESA</t>
        </is>
      </c>
      <c r="J136" t="inlineStr">
        <is>
          <t>EcoCash</t>
        </is>
      </c>
      <c r="M136" t="inlineStr">
        <is>
          <t>S04</t>
        </is>
      </c>
    </row>
    <row r="137">
      <c r="A137" t="inlineStr">
        <is>
          <t>2026-04-29</t>
        </is>
      </c>
      <c r="B137" t="inlineStr">
        <is>
          <t>shared</t>
        </is>
      </c>
      <c r="C137" t="inlineStr">
        <is>
          <t>Fuel</t>
        </is>
      </c>
      <c r="D137" t="inlineStr">
        <is>
          <t>Diesel - generator/vehicle</t>
        </is>
      </c>
      <c r="E137" t="n">
        <v>34</v>
      </c>
      <c r="F137" t="inlineStr">
        <is>
          <t>litre</t>
        </is>
      </c>
      <c r="G137" t="n">
        <v>1.54</v>
      </c>
      <c r="H137">
        <f>E137*G137</f>
        <v/>
      </c>
      <c r="I137" t="inlineStr">
        <is>
          <t>Puma Energy Goromonzi</t>
        </is>
      </c>
      <c r="J137" t="inlineStr">
        <is>
          <t>Cash</t>
        </is>
      </c>
      <c r="M137" t="inlineStr">
        <is>
          <t>S04</t>
        </is>
      </c>
    </row>
    <row r="138">
      <c r="A138" t="inlineStr">
        <is>
          <t>2026-04-29</t>
        </is>
      </c>
      <c r="B138" t="inlineStr">
        <is>
          <t>shared</t>
        </is>
      </c>
      <c r="C138" t="inlineStr">
        <is>
          <t>Electricity</t>
        </is>
      </c>
      <c r="D138" t="inlineStr">
        <is>
          <t>ZESA prepaid token</t>
        </is>
      </c>
      <c r="E138" t="n">
        <v>1</v>
      </c>
      <c r="F138" t="inlineStr">
        <is>
          <t>trip</t>
        </is>
      </c>
      <c r="G138" t="n">
        <v>62.38</v>
      </c>
      <c r="H138">
        <f>E138*G138</f>
        <v/>
      </c>
      <c r="I138" t="inlineStr">
        <is>
          <t>ZESA</t>
        </is>
      </c>
      <c r="J138" t="inlineStr">
        <is>
          <t>EcoCash</t>
        </is>
      </c>
      <c r="M138" t="inlineStr">
        <is>
          <t>S04</t>
        </is>
      </c>
    </row>
    <row r="139">
      <c r="A139" t="inlineStr">
        <is>
          <t>2026-05-29</t>
        </is>
      </c>
      <c r="B139" t="inlineStr">
        <is>
          <t>shared</t>
        </is>
      </c>
      <c r="C139" t="inlineStr">
        <is>
          <t>Fuel</t>
        </is>
      </c>
      <c r="D139" t="inlineStr">
        <is>
          <t>Diesel - generator/vehicle</t>
        </is>
      </c>
      <c r="E139" t="n">
        <v>35</v>
      </c>
      <c r="F139" t="inlineStr">
        <is>
          <t>litre</t>
        </is>
      </c>
      <c r="G139" t="n">
        <v>1.53</v>
      </c>
      <c r="H139">
        <f>E139*G139</f>
        <v/>
      </c>
      <c r="I139" t="inlineStr">
        <is>
          <t>Puma Energy Goromonzi</t>
        </is>
      </c>
      <c r="J139" t="inlineStr">
        <is>
          <t>Cash</t>
        </is>
      </c>
      <c r="M139" t="inlineStr">
        <is>
          <t>S04</t>
        </is>
      </c>
    </row>
    <row r="140">
      <c r="A140" t="inlineStr">
        <is>
          <t>2026-05-29</t>
        </is>
      </c>
      <c r="B140" t="inlineStr">
        <is>
          <t>shared</t>
        </is>
      </c>
      <c r="C140" t="inlineStr">
        <is>
          <t>Electricity</t>
        </is>
      </c>
      <c r="D140" t="inlineStr">
        <is>
          <t>ZESA prepaid token</t>
        </is>
      </c>
      <c r="E140" t="n">
        <v>1</v>
      </c>
      <c r="F140" t="inlineStr">
        <is>
          <t>trip</t>
        </is>
      </c>
      <c r="G140" t="n">
        <v>67.89</v>
      </c>
      <c r="H140">
        <f>E140*G140</f>
        <v/>
      </c>
      <c r="I140" t="inlineStr">
        <is>
          <t>ZESA</t>
        </is>
      </c>
      <c r="J140" t="inlineStr">
        <is>
          <t>EcoCash</t>
        </is>
      </c>
      <c r="M140" t="inlineStr">
        <is>
          <t>S04</t>
        </is>
      </c>
    </row>
    <row r="141">
      <c r="A141" t="inlineStr">
        <is>
          <t>2026-06-28</t>
        </is>
      </c>
      <c r="B141" t="inlineStr">
        <is>
          <t>shared</t>
        </is>
      </c>
      <c r="C141" t="inlineStr">
        <is>
          <t>Fuel</t>
        </is>
      </c>
      <c r="D141" t="inlineStr">
        <is>
          <t>Diesel - generator/vehicle</t>
        </is>
      </c>
      <c r="E141" t="n">
        <v>39</v>
      </c>
      <c r="F141" t="inlineStr">
        <is>
          <t>litre</t>
        </is>
      </c>
      <c r="G141" t="n">
        <v>1.47</v>
      </c>
      <c r="H141">
        <f>E141*G141</f>
        <v/>
      </c>
      <c r="I141" t="inlineStr">
        <is>
          <t>Puma Energy Goromonzi</t>
        </is>
      </c>
      <c r="J141" t="inlineStr">
        <is>
          <t>Cash</t>
        </is>
      </c>
      <c r="M141" t="inlineStr">
        <is>
          <t>S04</t>
        </is>
      </c>
    </row>
    <row r="142">
      <c r="A142" t="inlineStr">
        <is>
          <t>2026-06-28</t>
        </is>
      </c>
      <c r="B142" t="inlineStr">
        <is>
          <t>shared</t>
        </is>
      </c>
      <c r="C142" t="inlineStr">
        <is>
          <t>Electricity</t>
        </is>
      </c>
      <c r="D142" t="inlineStr">
        <is>
          <t>ZESA prepaid token</t>
        </is>
      </c>
      <c r="E142" t="n">
        <v>1</v>
      </c>
      <c r="F142" t="inlineStr">
        <is>
          <t>trip</t>
        </is>
      </c>
      <c r="G142" t="n">
        <v>64.09999999999999</v>
      </c>
      <c r="H142">
        <f>E142*G142</f>
        <v/>
      </c>
      <c r="I142" t="inlineStr">
        <is>
          <t>ZESA</t>
        </is>
      </c>
      <c r="J142" t="inlineStr">
        <is>
          <t>EcoCash</t>
        </is>
      </c>
      <c r="M142" t="inlineStr">
        <is>
          <t>S04</t>
        </is>
      </c>
    </row>
    <row r="143">
      <c r="A143" t="inlineStr">
        <is>
          <t>2026-07-28</t>
        </is>
      </c>
      <c r="B143" t="inlineStr">
        <is>
          <t>shared</t>
        </is>
      </c>
      <c r="C143" t="inlineStr">
        <is>
          <t>Fuel</t>
        </is>
      </c>
      <c r="D143" t="inlineStr">
        <is>
          <t>Diesel - generator/vehicle</t>
        </is>
      </c>
      <c r="E143" t="n">
        <v>36</v>
      </c>
      <c r="F143" t="inlineStr">
        <is>
          <t>litre</t>
        </is>
      </c>
      <c r="G143" t="n">
        <v>1.55</v>
      </c>
      <c r="H143">
        <f>E143*G143</f>
        <v/>
      </c>
      <c r="I143" t="inlineStr">
        <is>
          <t>Puma Energy Goromonzi</t>
        </is>
      </c>
      <c r="J143" t="inlineStr">
        <is>
          <t>Cash</t>
        </is>
      </c>
      <c r="M143" t="inlineStr">
        <is>
          <t>S04</t>
        </is>
      </c>
    </row>
    <row r="144">
      <c r="A144" t="inlineStr">
        <is>
          <t>2026-07-28</t>
        </is>
      </c>
      <c r="B144" t="inlineStr">
        <is>
          <t>shared</t>
        </is>
      </c>
      <c r="C144" t="inlineStr">
        <is>
          <t>Electricity</t>
        </is>
      </c>
      <c r="D144" t="inlineStr">
        <is>
          <t>ZESA prepaid token</t>
        </is>
      </c>
      <c r="E144" t="n">
        <v>1</v>
      </c>
      <c r="F144" t="inlineStr">
        <is>
          <t>trip</t>
        </is>
      </c>
      <c r="G144" t="n">
        <v>70.18000000000001</v>
      </c>
      <c r="H144">
        <f>E144*G144</f>
        <v/>
      </c>
      <c r="I144" t="inlineStr">
        <is>
          <t>ZESA</t>
        </is>
      </c>
      <c r="J144" t="inlineStr">
        <is>
          <t>EcoCash</t>
        </is>
      </c>
      <c r="M144" t="inlineStr">
        <is>
          <t>S04</t>
        </is>
      </c>
    </row>
    <row r="145">
      <c r="A145" t="inlineStr">
        <is>
          <t>2026-08-27</t>
        </is>
      </c>
      <c r="B145" t="inlineStr">
        <is>
          <t>shared</t>
        </is>
      </c>
      <c r="C145" t="inlineStr">
        <is>
          <t>Fuel</t>
        </is>
      </c>
      <c r="D145" t="inlineStr">
        <is>
          <t>Diesel - generator/vehicle</t>
        </is>
      </c>
      <c r="E145" t="n">
        <v>39</v>
      </c>
      <c r="F145" t="inlineStr">
        <is>
          <t>litre</t>
        </is>
      </c>
      <c r="G145" t="n">
        <v>1.61</v>
      </c>
      <c r="H145">
        <f>E145*G145</f>
        <v/>
      </c>
      <c r="I145" t="inlineStr">
        <is>
          <t>Puma Energy Goromonzi</t>
        </is>
      </c>
      <c r="J145" t="inlineStr">
        <is>
          <t>Cash</t>
        </is>
      </c>
      <c r="M145" t="inlineStr">
        <is>
          <t>S04</t>
        </is>
      </c>
    </row>
    <row r="146">
      <c r="A146" t="inlineStr">
        <is>
          <t>2026-08-27</t>
        </is>
      </c>
      <c r="B146" t="inlineStr">
        <is>
          <t>shared</t>
        </is>
      </c>
      <c r="C146" t="inlineStr">
        <is>
          <t>Electricity</t>
        </is>
      </c>
      <c r="D146" t="inlineStr">
        <is>
          <t>ZESA prepaid token</t>
        </is>
      </c>
      <c r="E146" t="n">
        <v>1</v>
      </c>
      <c r="F146" t="inlineStr">
        <is>
          <t>trip</t>
        </is>
      </c>
      <c r="G146" t="n">
        <v>58.59</v>
      </c>
      <c r="H146">
        <f>E146*G146</f>
        <v/>
      </c>
      <c r="I146" t="inlineStr">
        <is>
          <t>ZESA</t>
        </is>
      </c>
      <c r="J146" t="inlineStr">
        <is>
          <t>EcoCash</t>
        </is>
      </c>
      <c r="M146" t="inlineStr">
        <is>
          <t>S04</t>
        </is>
      </c>
    </row>
  </sheetData>
  <mergeCells count="1">
    <mergeCell ref="A1:M1"/>
  </mergeCells>
  <dataValidations count="4">
    <dataValidation sqref="B3:B500" showDropDown="0" showInputMessage="0" showErrorMessage="1" allowBlank="1" errorTitle="Invalid entry" error="Please choose a value from the list." type="list">
      <formula1>LIST_DOMAIN</formula1>
      <formula2>0</formula2>
    </dataValidation>
    <dataValidation sqref="C3:C500" showDropDown="0" showInputMessage="0" showErrorMessage="1" allowBlank="1" errorTitle="Invalid entry" error="Please choose a value from the list." type="list">
      <formula1>LIST_EXP_CATEGORY</formula1>
      <formula2>0</formula2>
    </dataValidation>
    <dataValidation sqref="F3:F500" showDropDown="0" showInputMessage="0" showErrorMessage="1" allowBlank="1" errorTitle="Invalid entry" error="Please choose a value from the list." type="list">
      <formula1>LIST_UNIT_GENERAL</formula1>
      <formula2>0</formula2>
    </dataValidation>
    <dataValidation sqref="J3:J500" showDropDown="0" showInputMessage="0" showErrorMessage="1" allowBlank="1" errorTitle="Invalid entry" error="Please choose a value from the list." type="list">
      <formula1>LIST_PAYMENT_METHOD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2F5597"/>
    <outlinePr summaryBelow="1" summaryRight="1"/>
    <pageSetUpPr/>
  </sheetPr>
  <dimension ref="A1:N13"/>
  <sheetViews>
    <sheetView tabSelected="1" zoomScaleNormal="100" workbookViewId="0">
      <pane ySplit="2" topLeftCell="A3" activePane="bottomLeft" state="frozen"/>
      <selection pane="bottomLeft" activeCell="A1" sqref="A1:N1"/>
    </sheetView>
  </sheetViews>
  <sheetFormatPr baseColWidth="10" defaultColWidth="8.6640625" defaultRowHeight="15"/>
  <cols>
    <col width="14" customWidth="1" min="1" max="6"/>
    <col width="16" customWidth="1" min="7" max="7"/>
    <col width="14" customWidth="1" min="8" max="8"/>
    <col width="17" customWidth="1" min="9" max="9"/>
    <col width="14" customWidth="1" min="10" max="12"/>
    <col width="18" customWidth="1" min="13" max="13"/>
    <col width="14" customWidth="1" min="14" max="14"/>
  </cols>
  <sheetData>
    <row r="1">
      <c r="A1" s="1" t="inlineStr">
        <is>
          <t>PURPOSE: Single money-in ledger; per-domain sales all use identical columns.   |   CADENCE: Every sale   |   ENTERED BY: Owner / sales clerk</t>
        </is>
      </c>
    </row>
    <row r="2">
      <c r="A2" s="6" t="inlineStr">
        <is>
          <t>date</t>
        </is>
      </c>
      <c r="B2" s="6" t="inlineStr">
        <is>
          <t>domain</t>
        </is>
      </c>
      <c r="C2" s="6" t="inlineStr">
        <is>
          <t>product</t>
        </is>
      </c>
      <c r="D2" s="6" t="inlineStr">
        <is>
          <t>quantity</t>
        </is>
      </c>
      <c r="E2" s="6" t="inlineStr">
        <is>
          <t>unit</t>
        </is>
      </c>
      <c r="F2" s="6" t="inlineStr">
        <is>
          <t>unit_price</t>
        </is>
      </c>
      <c r="G2" s="6" t="inlineStr">
        <is>
          <t>total_amount</t>
        </is>
      </c>
      <c r="H2" s="6" t="inlineStr">
        <is>
          <t>head_count</t>
        </is>
      </c>
      <c r="I2" s="6" t="inlineStr">
        <is>
          <t>avg_weight_kg</t>
        </is>
      </c>
      <c r="J2" s="6" t="inlineStr">
        <is>
          <t>grade</t>
        </is>
      </c>
      <c r="K2" s="6" t="inlineStr">
        <is>
          <t>buyer</t>
        </is>
      </c>
      <c r="L2" s="6" t="inlineStr">
        <is>
          <t>channel</t>
        </is>
      </c>
      <c r="M2" s="6" t="inlineStr">
        <is>
          <t>payment_status</t>
        </is>
      </c>
      <c r="N2" s="6" t="inlineStr">
        <is>
          <t>batch_ref</t>
        </is>
      </c>
    </row>
    <row r="3">
      <c r="A3" s="8" t="inlineStr">
        <is>
          <t>2026-09-03</t>
        </is>
      </c>
      <c r="B3" s="7" t="inlineStr">
        <is>
          <t>poultry</t>
        </is>
      </c>
      <c r="C3" s="7" t="inlineStr">
        <is>
          <t>Dressed chicken</t>
        </is>
      </c>
      <c r="D3" s="7" t="n">
        <v>48</v>
      </c>
      <c r="E3" s="7" t="inlineStr">
        <is>
          <t>head</t>
        </is>
      </c>
      <c r="F3" s="7" t="n">
        <v>6.2</v>
      </c>
      <c r="G3" s="7">
        <f>D3*F3</f>
        <v/>
      </c>
      <c r="H3" s="7" t="n">
        <v>48</v>
      </c>
      <c r="I3" s="7" t="n">
        <v>2.1</v>
      </c>
      <c r="J3" s="7" t="n"/>
      <c r="K3" s="7" t="inlineStr">
        <is>
          <t>Local market vendor</t>
        </is>
      </c>
      <c r="L3" s="7" t="inlineStr">
        <is>
          <t>Market</t>
        </is>
      </c>
      <c r="M3" s="7" t="inlineStr">
        <is>
          <t>Paid</t>
        </is>
      </c>
      <c r="N3" s="7" t="inlineStr">
        <is>
          <t>BRO-24</t>
        </is>
      </c>
    </row>
    <row r="4">
      <c r="A4" t="inlineStr">
        <is>
          <t>2026-02-18</t>
        </is>
      </c>
      <c r="B4" t="inlineStr">
        <is>
          <t>piggery</t>
        </is>
      </c>
      <c r="C4" t="inlineStr">
        <is>
          <t>Live pig</t>
        </is>
      </c>
      <c r="D4" t="n">
        <v>760</v>
      </c>
      <c r="E4" t="inlineStr">
        <is>
          <t>kg</t>
        </is>
      </c>
      <c r="F4" t="n">
        <v>1.79</v>
      </c>
      <c r="G4">
        <f>D4*F4</f>
        <v/>
      </c>
      <c r="H4" t="n">
        <v>10</v>
      </c>
      <c r="I4" t="n">
        <v>76</v>
      </c>
      <c r="K4" t="inlineStr">
        <is>
          <t>Colcom Abattoir</t>
        </is>
      </c>
      <c r="L4" t="inlineStr">
        <is>
          <t>Abattoir</t>
        </is>
      </c>
      <c r="M4" t="inlineStr">
        <is>
          <t>Paid</t>
        </is>
      </c>
      <c r="N4" t="inlineStr">
        <is>
          <t>PIG-B01</t>
        </is>
      </c>
    </row>
    <row r="5">
      <c r="A5" t="inlineStr">
        <is>
          <t>2026-08-17</t>
        </is>
      </c>
      <c r="B5" t="inlineStr">
        <is>
          <t>piggery</t>
        </is>
      </c>
      <c r="C5" t="inlineStr">
        <is>
          <t>Live pig</t>
        </is>
      </c>
      <c r="D5" t="n">
        <v>2233</v>
      </c>
      <c r="E5" t="inlineStr">
        <is>
          <t>kg</t>
        </is>
      </c>
      <c r="F5" t="n">
        <v>1.82</v>
      </c>
      <c r="G5">
        <f>D5*F5</f>
        <v/>
      </c>
      <c r="H5" t="n">
        <v>22</v>
      </c>
      <c r="I5" t="n">
        <v>101.5</v>
      </c>
      <c r="K5" t="inlineStr">
        <is>
          <t>Colcom Abattoir</t>
        </is>
      </c>
      <c r="L5" t="inlineStr">
        <is>
          <t>Abattoir</t>
        </is>
      </c>
      <c r="M5" t="inlineStr">
        <is>
          <t>Paid</t>
        </is>
      </c>
      <c r="N5" t="inlineStr">
        <is>
          <t>PIG-B02</t>
        </is>
      </c>
    </row>
    <row r="6">
      <c r="A6" t="inlineStr">
        <is>
          <t>2026-03-20</t>
        </is>
      </c>
      <c r="B6" t="inlineStr">
        <is>
          <t>piggery</t>
        </is>
      </c>
      <c r="C6" t="inlineStr">
        <is>
          <t>Live pig</t>
        </is>
      </c>
      <c r="D6" t="n">
        <v>2014.8</v>
      </c>
      <c r="E6" t="inlineStr">
        <is>
          <t>kg</t>
        </is>
      </c>
      <c r="F6" t="n">
        <v>1.94</v>
      </c>
      <c r="G6">
        <f>D6*F6</f>
        <v/>
      </c>
      <c r="H6" t="n">
        <v>23</v>
      </c>
      <c r="I6" t="n">
        <v>87.59999999999999</v>
      </c>
      <c r="K6" t="inlineStr">
        <is>
          <t>Colcom Abattoir</t>
        </is>
      </c>
      <c r="L6" t="inlineStr">
        <is>
          <t>Abattoir</t>
        </is>
      </c>
      <c r="M6" t="inlineStr">
        <is>
          <t>Paid</t>
        </is>
      </c>
      <c r="N6" t="inlineStr">
        <is>
          <t>PIG-B03</t>
        </is>
      </c>
    </row>
    <row r="7">
      <c r="A7" t="inlineStr">
        <is>
          <t>2025-11-21</t>
        </is>
      </c>
      <c r="B7" t="inlineStr">
        <is>
          <t>poultry</t>
        </is>
      </c>
      <c r="C7" t="inlineStr">
        <is>
          <t>Live broiler</t>
        </is>
      </c>
      <c r="D7" t="n">
        <v>497</v>
      </c>
      <c r="E7" t="inlineStr">
        <is>
          <t>head</t>
        </is>
      </c>
      <c r="F7" t="n">
        <v>6.36</v>
      </c>
      <c r="G7">
        <f>D7*F7</f>
        <v/>
      </c>
      <c r="H7" t="n">
        <v>497</v>
      </c>
      <c r="I7" t="n">
        <v>2.1</v>
      </c>
      <c r="K7" t="inlineStr">
        <is>
          <t>Local market vendor</t>
        </is>
      </c>
      <c r="L7" t="inlineStr">
        <is>
          <t>Market</t>
        </is>
      </c>
      <c r="M7" t="inlineStr">
        <is>
          <t>Paid</t>
        </is>
      </c>
      <c r="N7" t="inlineStr">
        <is>
          <t>BRO-P01</t>
        </is>
      </c>
    </row>
    <row r="8">
      <c r="A8" t="inlineStr">
        <is>
          <t>2026-01-31</t>
        </is>
      </c>
      <c r="B8" t="inlineStr">
        <is>
          <t>poultry</t>
        </is>
      </c>
      <c r="C8" t="inlineStr">
        <is>
          <t>Live broiler</t>
        </is>
      </c>
      <c r="D8" t="n">
        <v>478</v>
      </c>
      <c r="E8" t="inlineStr">
        <is>
          <t>head</t>
        </is>
      </c>
      <c r="F8" t="n">
        <v>5.98</v>
      </c>
      <c r="G8">
        <f>D8*F8</f>
        <v/>
      </c>
      <c r="H8" t="n">
        <v>478</v>
      </c>
      <c r="I8" t="n">
        <v>1.9</v>
      </c>
      <c r="K8" t="inlineStr">
        <is>
          <t>Local market vendor</t>
        </is>
      </c>
      <c r="L8" t="inlineStr">
        <is>
          <t>Market</t>
        </is>
      </c>
      <c r="M8" t="inlineStr">
        <is>
          <t>Paid</t>
        </is>
      </c>
      <c r="N8" t="inlineStr">
        <is>
          <t>BRO-P02</t>
        </is>
      </c>
    </row>
    <row r="9">
      <c r="A9" t="inlineStr">
        <is>
          <t>2026-04-16</t>
        </is>
      </c>
      <c r="B9" t="inlineStr">
        <is>
          <t>poultry</t>
        </is>
      </c>
      <c r="C9" t="inlineStr">
        <is>
          <t>Live broiler</t>
        </is>
      </c>
      <c r="D9" t="n">
        <v>500</v>
      </c>
      <c r="E9" t="inlineStr">
        <is>
          <t>head</t>
        </is>
      </c>
      <c r="F9" t="n">
        <v>6.28</v>
      </c>
      <c r="G9">
        <f>D9*F9</f>
        <v/>
      </c>
      <c r="H9" t="n">
        <v>500</v>
      </c>
      <c r="I9" t="n">
        <v>2.1</v>
      </c>
      <c r="K9" t="inlineStr">
        <is>
          <t>Greenline Butchery (30-day account)</t>
        </is>
      </c>
      <c r="L9" t="inlineStr">
        <is>
          <t>Contract</t>
        </is>
      </c>
      <c r="M9" t="inlineStr">
        <is>
          <t>Paid</t>
        </is>
      </c>
      <c r="N9" t="inlineStr">
        <is>
          <t>BRO-P03</t>
        </is>
      </c>
    </row>
    <row r="10">
      <c r="A10" t="inlineStr">
        <is>
          <t>2026-04-12</t>
        </is>
      </c>
      <c r="B10" t="inlineStr">
        <is>
          <t>crops</t>
        </is>
      </c>
      <c r="C10" t="inlineStr">
        <is>
          <t>Maize grain</t>
        </is>
      </c>
      <c r="D10" t="n">
        <v>710</v>
      </c>
      <c r="E10" t="inlineStr">
        <is>
          <t>bag</t>
        </is>
      </c>
      <c r="F10" t="n">
        <v>13.32</v>
      </c>
      <c r="G10">
        <f>D10*F10</f>
        <v/>
      </c>
      <c r="J10" t="inlineStr">
        <is>
          <t>A</t>
        </is>
      </c>
      <c r="K10" t="inlineStr">
        <is>
          <t>Mbare Musika trader</t>
        </is>
      </c>
      <c r="L10" t="inlineStr">
        <is>
          <t>Market</t>
        </is>
      </c>
      <c r="M10" t="inlineStr">
        <is>
          <t>Paid</t>
        </is>
      </c>
      <c r="N10" t="inlineStr">
        <is>
          <t>MZ-PL1-25A</t>
        </is>
      </c>
    </row>
    <row r="11">
      <c r="A11" t="inlineStr">
        <is>
          <t>2026-03-28</t>
        </is>
      </c>
      <c r="B11" t="inlineStr">
        <is>
          <t>crops</t>
        </is>
      </c>
      <c r="C11" t="inlineStr">
        <is>
          <t>Soya</t>
        </is>
      </c>
      <c r="D11" t="n">
        <v>368</v>
      </c>
      <c r="E11" t="inlineStr">
        <is>
          <t>bag</t>
        </is>
      </c>
      <c r="F11" t="n">
        <v>23.59</v>
      </c>
      <c r="G11">
        <f>D11*F11</f>
        <v/>
      </c>
      <c r="J11" t="inlineStr">
        <is>
          <t>A</t>
        </is>
      </c>
      <c r="K11" t="inlineStr">
        <is>
          <t>Chikafu Grain Traders</t>
        </is>
      </c>
      <c r="L11" t="inlineStr">
        <is>
          <t>Contract</t>
        </is>
      </c>
      <c r="M11" t="inlineStr">
        <is>
          <t>Owing</t>
        </is>
      </c>
      <c r="N11" t="inlineStr">
        <is>
          <t>SB-PL2-25A</t>
        </is>
      </c>
    </row>
    <row r="12">
      <c r="A12" t="inlineStr">
        <is>
          <t>2026-04-22</t>
        </is>
      </c>
      <c r="B12" t="inlineStr">
        <is>
          <t>crops</t>
        </is>
      </c>
      <c r="C12" t="inlineStr">
        <is>
          <t>Maize grain</t>
        </is>
      </c>
      <c r="D12" t="n">
        <v>137</v>
      </c>
      <c r="E12" t="inlineStr">
        <is>
          <t>bag</t>
        </is>
      </c>
      <c r="F12" t="n">
        <v>28.6</v>
      </c>
      <c r="G12">
        <f>D12*F12</f>
        <v/>
      </c>
      <c r="J12" t="inlineStr">
        <is>
          <t>B</t>
        </is>
      </c>
      <c r="K12" t="inlineStr">
        <is>
          <t>Mbare Musika trader</t>
        </is>
      </c>
      <c r="L12" t="inlineStr">
        <is>
          <t>Market</t>
        </is>
      </c>
      <c r="M12" t="inlineStr">
        <is>
          <t>Paid</t>
        </is>
      </c>
      <c r="N12" t="inlineStr">
        <is>
          <t>GN-PL3-25A</t>
        </is>
      </c>
    </row>
    <row r="13">
      <c r="A13" t="inlineStr">
        <is>
          <t>2026-08-18</t>
        </is>
      </c>
      <c r="B13" t="inlineStr">
        <is>
          <t>crops</t>
        </is>
      </c>
      <c r="C13" t="inlineStr">
        <is>
          <t>Tomatoes</t>
        </is>
      </c>
      <c r="D13" t="n">
        <v>2262</v>
      </c>
      <c r="E13" t="inlineStr">
        <is>
          <t>crate</t>
        </is>
      </c>
      <c r="F13" t="n">
        <v>8.34</v>
      </c>
      <c r="G13">
        <f>D13*F13</f>
        <v/>
      </c>
      <c r="J13" t="inlineStr">
        <is>
          <t>B</t>
        </is>
      </c>
      <c r="K13" t="inlineStr">
        <is>
          <t>Mbare Musika trader</t>
        </is>
      </c>
      <c r="L13" t="inlineStr">
        <is>
          <t>Market</t>
        </is>
      </c>
      <c r="M13" t="inlineStr">
        <is>
          <t>Paid</t>
        </is>
      </c>
      <c r="N13" t="inlineStr">
        <is>
          <t>TM-PL1-26A</t>
        </is>
      </c>
    </row>
  </sheetData>
  <mergeCells count="1">
    <mergeCell ref="A1:N1"/>
  </mergeCells>
  <dataValidations count="5">
    <dataValidation sqref="B3:B500" showDropDown="0" showInputMessage="0" showErrorMessage="1" allowBlank="1" errorTitle="Invalid entry" error="Please choose a value from the list." type="list">
      <formula1>LIST_DOMAIN</formula1>
      <formula2>0</formula2>
    </dataValidation>
    <dataValidation sqref="C3:C500" showDropDown="0" showInputMessage="0" showErrorMessage="1" allowBlank="1" errorTitle="Invalid entry" error="Please choose a value from the list." type="list">
      <formula1>LIST_PRODUCT</formula1>
      <formula2>0</formula2>
    </dataValidation>
    <dataValidation sqref="E3:E500" showDropDown="0" showInputMessage="0" showErrorMessage="1" allowBlank="1" errorTitle="Invalid entry" error="Please choose a value from the list." type="list">
      <formula1>LIST_UNIT_SALES</formula1>
      <formula2>0</formula2>
    </dataValidation>
    <dataValidation sqref="L3:L500" showDropDown="0" showInputMessage="0" showErrorMessage="1" allowBlank="1" errorTitle="Invalid entry" error="Please choose a value from the list." type="list">
      <formula1>LIST_CHANNEL</formula1>
      <formula2>0</formula2>
    </dataValidation>
    <dataValidation sqref="M3:M500" showDropDown="0" showInputMessage="0" showErrorMessage="1" allowBlank="1" errorTitle="Invalid entry" error="Please choose a value from the list." type="list">
      <formula1>LIST_PAYMENT_STATUS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2F5597"/>
    <outlinePr summaryBelow="1" summaryRight="1"/>
    <pageSetUpPr/>
  </sheetPr>
  <dimension ref="A1:H1146"/>
  <sheetViews>
    <sheetView zoomScaleNormal="100" workbookViewId="0">
      <pane ySplit="2" topLeftCell="A3" activePane="bottomLeft" state="frozen"/>
      <selection pane="bottomLeft" activeCell="A1" sqref="A1:H1"/>
    </sheetView>
  </sheetViews>
  <sheetFormatPr baseColWidth="10" defaultColWidth="8.6640625" defaultRowHeight="15"/>
  <cols>
    <col width="14" customWidth="1" min="1" max="5"/>
    <col width="18" customWidth="1" min="6" max="6"/>
    <col width="15" customWidth="1" min="7" max="7"/>
    <col width="14" customWidth="1" min="8" max="8"/>
  </cols>
  <sheetData>
    <row r="1">
      <c r="A1" s="1" t="inlineStr">
        <is>
          <t>PURPOSE: Answers 'which enterprise eats my wage bill' and cost per kg produced.   |   CADENCE: Daily, one row per worker per domain   |   ENTERED BY: Supervisor at end of shift</t>
        </is>
      </c>
    </row>
    <row r="2">
      <c r="A2" s="6" t="inlineStr">
        <is>
          <t>date</t>
        </is>
      </c>
      <c r="B2" s="6" t="inlineStr">
        <is>
          <t>staff_code</t>
        </is>
      </c>
      <c r="C2" s="6" t="inlineStr">
        <is>
          <t>domain</t>
        </is>
      </c>
      <c r="D2" s="6" t="inlineStr">
        <is>
          <t>task</t>
        </is>
      </c>
      <c r="E2" s="6" t="inlineStr">
        <is>
          <t>hours</t>
        </is>
      </c>
      <c r="F2" s="6" t="inlineStr">
        <is>
          <t>overtime_hours</t>
        </is>
      </c>
      <c r="G2" s="6" t="inlineStr">
        <is>
          <t>labour_cost</t>
        </is>
      </c>
      <c r="H2" s="6" t="inlineStr">
        <is>
          <t>batch_ref</t>
        </is>
      </c>
    </row>
    <row r="3">
      <c r="A3" s="8" t="inlineStr">
        <is>
          <t>2026-09-01</t>
        </is>
      </c>
      <c r="B3" s="7" t="inlineStr">
        <is>
          <t>S01</t>
        </is>
      </c>
      <c r="C3" s="7" t="inlineStr">
        <is>
          <t>piggery</t>
        </is>
      </c>
      <c r="D3" s="7" t="inlineStr">
        <is>
          <t>Feeding</t>
        </is>
      </c>
      <c r="E3" s="7" t="n">
        <v>8</v>
      </c>
      <c r="F3" s="7" t="n">
        <v>0</v>
      </c>
      <c r="G3" s="7">
        <f>IFERROR(INDEX('01_STAFF'!$F:$F,MATCH(B3,'01_STAFF'!$A:$A,0))*E3,0)</f>
        <v/>
      </c>
      <c r="H3" s="7" t="n"/>
    </row>
    <row r="4">
      <c r="A4" t="inlineStr">
        <is>
          <t>2025-10-01</t>
        </is>
      </c>
      <c r="B4" t="inlineStr">
        <is>
          <t>S01</t>
        </is>
      </c>
      <c r="C4" t="inlineStr">
        <is>
          <t>piggery</t>
        </is>
      </c>
      <c r="D4" t="inlineStr">
        <is>
          <t>Cleaning</t>
        </is>
      </c>
      <c r="E4" t="n">
        <v>8</v>
      </c>
      <c r="F4" t="n">
        <v>0</v>
      </c>
      <c r="G4">
        <f>IFERROR(INDEX('01_STAFF'!$F:$F,MATCH(B4,'01_STAFF'!$A:$A,0))*E4,0)</f>
        <v/>
      </c>
    </row>
    <row r="5">
      <c r="A5" t="inlineStr">
        <is>
          <t>2025-10-01</t>
        </is>
      </c>
      <c r="B5" t="inlineStr">
        <is>
          <t>S02</t>
        </is>
      </c>
      <c r="C5" t="inlineStr">
        <is>
          <t>poultry</t>
        </is>
      </c>
      <c r="D5" t="inlineStr">
        <is>
          <t>Vaccination</t>
        </is>
      </c>
      <c r="E5" t="n">
        <v>8</v>
      </c>
      <c r="F5" t="n">
        <v>0</v>
      </c>
      <c r="G5">
        <f>IFERROR(INDEX('01_STAFF'!$F:$F,MATCH(B5,'01_STAFF'!$A:$A,0))*E5,0)</f>
        <v/>
      </c>
    </row>
    <row r="6">
      <c r="A6" t="inlineStr">
        <is>
          <t>2025-10-01</t>
        </is>
      </c>
      <c r="B6" t="inlineStr">
        <is>
          <t>S03</t>
        </is>
      </c>
      <c r="C6" t="inlineStr">
        <is>
          <t>crops</t>
        </is>
      </c>
      <c r="D6" t="inlineStr">
        <is>
          <t>Maintenance</t>
        </is>
      </c>
      <c r="E6" t="n">
        <v>8</v>
      </c>
      <c r="F6" t="n">
        <v>0</v>
      </c>
      <c r="G6">
        <f>IFERROR(INDEX('01_STAFF'!$F:$F,MATCH(B6,'01_STAFF'!$A:$A,0))*E6,0)</f>
        <v/>
      </c>
    </row>
    <row r="7">
      <c r="A7" t="inlineStr">
        <is>
          <t>2025-10-01</t>
        </is>
      </c>
      <c r="B7" t="inlineStr">
        <is>
          <t>S04</t>
        </is>
      </c>
      <c r="C7" t="inlineStr">
        <is>
          <t>shared</t>
        </is>
      </c>
      <c r="D7" t="inlineStr">
        <is>
          <t>Weighing</t>
        </is>
      </c>
      <c r="E7" t="n">
        <v>7</v>
      </c>
      <c r="F7" t="n">
        <v>0</v>
      </c>
      <c r="G7">
        <f>IFERROR(INDEX('01_STAFF'!$F:$F,MATCH(B7,'01_STAFF'!$A:$A,0))*E7,0)</f>
        <v/>
      </c>
    </row>
    <row r="8">
      <c r="A8" t="inlineStr">
        <is>
          <t>2025-10-02</t>
        </is>
      </c>
      <c r="B8" t="inlineStr">
        <is>
          <t>S01</t>
        </is>
      </c>
      <c r="C8" t="inlineStr">
        <is>
          <t>piggery</t>
        </is>
      </c>
      <c r="D8" t="inlineStr">
        <is>
          <t>Vaccination</t>
        </is>
      </c>
      <c r="E8" t="n">
        <v>8</v>
      </c>
      <c r="F8" t="n">
        <v>0</v>
      </c>
      <c r="G8">
        <f>IFERROR(INDEX('01_STAFF'!$F:$F,MATCH(B8,'01_STAFF'!$A:$A,0))*E8,0)</f>
        <v/>
      </c>
    </row>
    <row r="9">
      <c r="A9" t="inlineStr">
        <is>
          <t>2025-10-02</t>
        </is>
      </c>
      <c r="B9" t="inlineStr">
        <is>
          <t>S02</t>
        </is>
      </c>
      <c r="C9" t="inlineStr">
        <is>
          <t>poultry</t>
        </is>
      </c>
      <c r="D9" t="inlineStr">
        <is>
          <t>Vaccination</t>
        </is>
      </c>
      <c r="E9" t="n">
        <v>8</v>
      </c>
      <c r="F9" t="n">
        <v>0</v>
      </c>
      <c r="G9">
        <f>IFERROR(INDEX('01_STAFF'!$F:$F,MATCH(B9,'01_STAFF'!$A:$A,0))*E9,0)</f>
        <v/>
      </c>
    </row>
    <row r="10">
      <c r="A10" t="inlineStr">
        <is>
          <t>2025-10-02</t>
        </is>
      </c>
      <c r="B10" t="inlineStr">
        <is>
          <t>S03</t>
        </is>
      </c>
      <c r="C10" t="inlineStr">
        <is>
          <t>crops</t>
        </is>
      </c>
      <c r="D10" t="inlineStr">
        <is>
          <t>Maintenance</t>
        </is>
      </c>
      <c r="E10" t="n">
        <v>8</v>
      </c>
      <c r="F10" t="n">
        <v>0</v>
      </c>
      <c r="G10">
        <f>IFERROR(INDEX('01_STAFF'!$F:$F,MATCH(B10,'01_STAFF'!$A:$A,0))*E10,0)</f>
        <v/>
      </c>
    </row>
    <row r="11">
      <c r="A11" t="inlineStr">
        <is>
          <t>2025-10-02</t>
        </is>
      </c>
      <c r="B11" t="inlineStr">
        <is>
          <t>S04</t>
        </is>
      </c>
      <c r="C11" t="inlineStr">
        <is>
          <t>shared</t>
        </is>
      </c>
      <c r="D11" t="inlineStr">
        <is>
          <t>Vaccination</t>
        </is>
      </c>
      <c r="E11" t="n">
        <v>6</v>
      </c>
      <c r="F11" t="n">
        <v>0</v>
      </c>
      <c r="G11">
        <f>IFERROR(INDEX('01_STAFF'!$F:$F,MATCH(B11,'01_STAFF'!$A:$A,0))*E11,0)</f>
        <v/>
      </c>
    </row>
    <row r="12">
      <c r="A12" t="inlineStr">
        <is>
          <t>2025-10-03</t>
        </is>
      </c>
      <c r="B12" t="inlineStr">
        <is>
          <t>S01</t>
        </is>
      </c>
      <c r="C12" t="inlineStr">
        <is>
          <t>piggery</t>
        </is>
      </c>
      <c r="D12" t="inlineStr">
        <is>
          <t>Weighing</t>
        </is>
      </c>
      <c r="E12" t="n">
        <v>8</v>
      </c>
      <c r="F12" t="n">
        <v>0</v>
      </c>
      <c r="G12">
        <f>IFERROR(INDEX('01_STAFF'!$F:$F,MATCH(B12,'01_STAFF'!$A:$A,0))*E12,0)</f>
        <v/>
      </c>
    </row>
    <row r="13">
      <c r="A13" t="inlineStr">
        <is>
          <t>2025-10-03</t>
        </is>
      </c>
      <c r="B13" t="inlineStr">
        <is>
          <t>S02</t>
        </is>
      </c>
      <c r="C13" t="inlineStr">
        <is>
          <t>poultry</t>
        </is>
      </c>
      <c r="D13" t="inlineStr">
        <is>
          <t>Cleaning</t>
        </is>
      </c>
      <c r="E13" t="n">
        <v>8</v>
      </c>
      <c r="F13" t="n">
        <v>0</v>
      </c>
      <c r="G13">
        <f>IFERROR(INDEX('01_STAFF'!$F:$F,MATCH(B13,'01_STAFF'!$A:$A,0))*E13,0)</f>
        <v/>
      </c>
    </row>
    <row r="14">
      <c r="A14" t="inlineStr">
        <is>
          <t>2025-10-03</t>
        </is>
      </c>
      <c r="B14" t="inlineStr">
        <is>
          <t>S03</t>
        </is>
      </c>
      <c r="C14" t="inlineStr">
        <is>
          <t>crops</t>
        </is>
      </c>
      <c r="D14" t="inlineStr">
        <is>
          <t>Spraying</t>
        </is>
      </c>
      <c r="E14" t="n">
        <v>8</v>
      </c>
      <c r="F14" t="n">
        <v>0</v>
      </c>
      <c r="G14">
        <f>IFERROR(INDEX('01_STAFF'!$F:$F,MATCH(B14,'01_STAFF'!$A:$A,0))*E14,0)</f>
        <v/>
      </c>
    </row>
    <row r="15">
      <c r="A15" t="inlineStr">
        <is>
          <t>2025-10-03</t>
        </is>
      </c>
      <c r="B15" t="inlineStr">
        <is>
          <t>S04</t>
        </is>
      </c>
      <c r="C15" t="inlineStr">
        <is>
          <t>shared</t>
        </is>
      </c>
      <c r="D15" t="inlineStr">
        <is>
          <t>Weighing</t>
        </is>
      </c>
      <c r="E15" t="n">
        <v>5</v>
      </c>
      <c r="F15" t="n">
        <v>1</v>
      </c>
      <c r="G15">
        <f>IFERROR(INDEX('01_STAFF'!$F:$F,MATCH(B15,'01_STAFF'!$A:$A,0))*E15,0)</f>
        <v/>
      </c>
    </row>
    <row r="16">
      <c r="A16" t="inlineStr">
        <is>
          <t>2025-10-04</t>
        </is>
      </c>
      <c r="B16" t="inlineStr">
        <is>
          <t>S01</t>
        </is>
      </c>
      <c r="C16" t="inlineStr">
        <is>
          <t>piggery</t>
        </is>
      </c>
      <c r="D16" t="inlineStr">
        <is>
          <t>Feeding</t>
        </is>
      </c>
      <c r="E16" t="n">
        <v>8</v>
      </c>
      <c r="F16" t="n">
        <v>0</v>
      </c>
      <c r="G16">
        <f>IFERROR(INDEX('01_STAFF'!$F:$F,MATCH(B16,'01_STAFF'!$A:$A,0))*E16,0)</f>
        <v/>
      </c>
    </row>
    <row r="17">
      <c r="A17" t="inlineStr">
        <is>
          <t>2025-10-04</t>
        </is>
      </c>
      <c r="B17" t="inlineStr">
        <is>
          <t>S02</t>
        </is>
      </c>
      <c r="C17" t="inlineStr">
        <is>
          <t>poultry</t>
        </is>
      </c>
      <c r="D17" t="inlineStr">
        <is>
          <t>Weighing</t>
        </is>
      </c>
      <c r="E17" t="n">
        <v>8</v>
      </c>
      <c r="F17" t="n">
        <v>1</v>
      </c>
      <c r="G17">
        <f>IFERROR(INDEX('01_STAFF'!$F:$F,MATCH(B17,'01_STAFF'!$A:$A,0))*E17,0)</f>
        <v/>
      </c>
    </row>
    <row r="18">
      <c r="A18" t="inlineStr">
        <is>
          <t>2025-10-04</t>
        </is>
      </c>
      <c r="B18" t="inlineStr">
        <is>
          <t>S03</t>
        </is>
      </c>
      <c r="C18" t="inlineStr">
        <is>
          <t>crops</t>
        </is>
      </c>
      <c r="D18" t="inlineStr">
        <is>
          <t>Weeding</t>
        </is>
      </c>
      <c r="E18" t="n">
        <v>8</v>
      </c>
      <c r="F18" t="n">
        <v>0</v>
      </c>
      <c r="G18">
        <f>IFERROR(INDEX('01_STAFF'!$F:$F,MATCH(B18,'01_STAFF'!$A:$A,0))*E18,0)</f>
        <v/>
      </c>
    </row>
    <row r="19">
      <c r="A19" t="inlineStr">
        <is>
          <t>2025-10-06</t>
        </is>
      </c>
      <c r="B19" t="inlineStr">
        <is>
          <t>S01</t>
        </is>
      </c>
      <c r="C19" t="inlineStr">
        <is>
          <t>piggery</t>
        </is>
      </c>
      <c r="D19" t="inlineStr">
        <is>
          <t>Weighing</t>
        </is>
      </c>
      <c r="E19" t="n">
        <v>8</v>
      </c>
      <c r="F19" t="n">
        <v>0</v>
      </c>
      <c r="G19">
        <f>IFERROR(INDEX('01_STAFF'!$F:$F,MATCH(B19,'01_STAFF'!$A:$A,0))*E19,0)</f>
        <v/>
      </c>
    </row>
    <row r="20">
      <c r="A20" t="inlineStr">
        <is>
          <t>2025-10-06</t>
        </is>
      </c>
      <c r="B20" t="inlineStr">
        <is>
          <t>S02</t>
        </is>
      </c>
      <c r="C20" t="inlineStr">
        <is>
          <t>poultry</t>
        </is>
      </c>
      <c r="D20" t="inlineStr">
        <is>
          <t>Cleaning</t>
        </is>
      </c>
      <c r="E20" t="n">
        <v>8</v>
      </c>
      <c r="F20" t="n">
        <v>1</v>
      </c>
      <c r="G20">
        <f>IFERROR(INDEX('01_STAFF'!$F:$F,MATCH(B20,'01_STAFF'!$A:$A,0))*E20,0)</f>
        <v/>
      </c>
    </row>
    <row r="21">
      <c r="A21" t="inlineStr">
        <is>
          <t>2025-10-06</t>
        </is>
      </c>
      <c r="B21" t="inlineStr">
        <is>
          <t>S03</t>
        </is>
      </c>
      <c r="C21" t="inlineStr">
        <is>
          <t>crops</t>
        </is>
      </c>
      <c r="D21" t="inlineStr">
        <is>
          <t>Weeding</t>
        </is>
      </c>
      <c r="E21" t="n">
        <v>8</v>
      </c>
      <c r="F21" t="n">
        <v>0</v>
      </c>
      <c r="G21">
        <f>IFERROR(INDEX('01_STAFF'!$F:$F,MATCH(B21,'01_STAFF'!$A:$A,0))*E21,0)</f>
        <v/>
      </c>
    </row>
    <row r="22">
      <c r="A22" t="inlineStr">
        <is>
          <t>2025-10-06</t>
        </is>
      </c>
      <c r="B22" t="inlineStr">
        <is>
          <t>S04</t>
        </is>
      </c>
      <c r="C22" t="inlineStr">
        <is>
          <t>shared</t>
        </is>
      </c>
      <c r="D22" t="inlineStr">
        <is>
          <t>Marketing</t>
        </is>
      </c>
      <c r="E22" t="n">
        <v>5</v>
      </c>
      <c r="F22" t="n">
        <v>0</v>
      </c>
      <c r="G22">
        <f>IFERROR(INDEX('01_STAFF'!$F:$F,MATCH(B22,'01_STAFF'!$A:$A,0))*E22,0)</f>
        <v/>
      </c>
    </row>
    <row r="23">
      <c r="A23" t="inlineStr">
        <is>
          <t>2025-10-07</t>
        </is>
      </c>
      <c r="B23" t="inlineStr">
        <is>
          <t>S01</t>
        </is>
      </c>
      <c r="C23" t="inlineStr">
        <is>
          <t>piggery</t>
        </is>
      </c>
      <c r="D23" t="inlineStr">
        <is>
          <t>Vaccination</t>
        </is>
      </c>
      <c r="E23" t="n">
        <v>8</v>
      </c>
      <c r="F23" t="n">
        <v>0</v>
      </c>
      <c r="G23">
        <f>IFERROR(INDEX('01_STAFF'!$F:$F,MATCH(B23,'01_STAFF'!$A:$A,0))*E23,0)</f>
        <v/>
      </c>
    </row>
    <row r="24">
      <c r="A24" t="inlineStr">
        <is>
          <t>2025-10-07</t>
        </is>
      </c>
      <c r="B24" t="inlineStr">
        <is>
          <t>S02</t>
        </is>
      </c>
      <c r="C24" t="inlineStr">
        <is>
          <t>poultry</t>
        </is>
      </c>
      <c r="D24" t="inlineStr">
        <is>
          <t>Feeding</t>
        </is>
      </c>
      <c r="E24" t="n">
        <v>8</v>
      </c>
      <c r="F24" t="n">
        <v>0</v>
      </c>
      <c r="G24">
        <f>IFERROR(INDEX('01_STAFF'!$F:$F,MATCH(B24,'01_STAFF'!$A:$A,0))*E24,0)</f>
        <v/>
      </c>
    </row>
    <row r="25">
      <c r="A25" t="inlineStr">
        <is>
          <t>2025-10-07</t>
        </is>
      </c>
      <c r="B25" t="inlineStr">
        <is>
          <t>S03</t>
        </is>
      </c>
      <c r="C25" t="inlineStr">
        <is>
          <t>crops</t>
        </is>
      </c>
      <c r="D25" t="inlineStr">
        <is>
          <t>Weeding</t>
        </is>
      </c>
      <c r="E25" t="n">
        <v>8</v>
      </c>
      <c r="F25" t="n">
        <v>0</v>
      </c>
      <c r="G25">
        <f>IFERROR(INDEX('01_STAFF'!$F:$F,MATCH(B25,'01_STAFF'!$A:$A,0))*E25,0)</f>
        <v/>
      </c>
    </row>
    <row r="26">
      <c r="A26" t="inlineStr">
        <is>
          <t>2025-10-07</t>
        </is>
      </c>
      <c r="B26" t="inlineStr">
        <is>
          <t>S04</t>
        </is>
      </c>
      <c r="C26" t="inlineStr">
        <is>
          <t>shared</t>
        </is>
      </c>
      <c r="D26" t="inlineStr">
        <is>
          <t>Maintenance</t>
        </is>
      </c>
      <c r="E26" t="n">
        <v>6</v>
      </c>
      <c r="F26" t="n">
        <v>0</v>
      </c>
      <c r="G26">
        <f>IFERROR(INDEX('01_STAFF'!$F:$F,MATCH(B26,'01_STAFF'!$A:$A,0))*E26,0)</f>
        <v/>
      </c>
    </row>
    <row r="27">
      <c r="A27" t="inlineStr">
        <is>
          <t>2025-10-08</t>
        </is>
      </c>
      <c r="B27" t="inlineStr">
        <is>
          <t>S01</t>
        </is>
      </c>
      <c r="C27" t="inlineStr">
        <is>
          <t>piggery</t>
        </is>
      </c>
      <c r="D27" t="inlineStr">
        <is>
          <t>Vaccination</t>
        </is>
      </c>
      <c r="E27" t="n">
        <v>8</v>
      </c>
      <c r="F27" t="n">
        <v>1</v>
      </c>
      <c r="G27">
        <f>IFERROR(INDEX('01_STAFF'!$F:$F,MATCH(B27,'01_STAFF'!$A:$A,0))*E27,0)</f>
        <v/>
      </c>
    </row>
    <row r="28">
      <c r="A28" t="inlineStr">
        <is>
          <t>2025-10-08</t>
        </is>
      </c>
      <c r="B28" t="inlineStr">
        <is>
          <t>S03</t>
        </is>
      </c>
      <c r="C28" t="inlineStr">
        <is>
          <t>crops</t>
        </is>
      </c>
      <c r="D28" t="inlineStr">
        <is>
          <t>Spraying</t>
        </is>
      </c>
      <c r="E28" t="n">
        <v>8</v>
      </c>
      <c r="F28" t="n">
        <v>0</v>
      </c>
      <c r="G28">
        <f>IFERROR(INDEX('01_STAFF'!$F:$F,MATCH(B28,'01_STAFF'!$A:$A,0))*E28,0)</f>
        <v/>
      </c>
    </row>
    <row r="29">
      <c r="A29" t="inlineStr">
        <is>
          <t>2025-10-08</t>
        </is>
      </c>
      <c r="B29" t="inlineStr">
        <is>
          <t>S04</t>
        </is>
      </c>
      <c r="C29" t="inlineStr">
        <is>
          <t>shared</t>
        </is>
      </c>
      <c r="D29" t="inlineStr">
        <is>
          <t>Maintenance</t>
        </is>
      </c>
      <c r="E29" t="n">
        <v>7</v>
      </c>
      <c r="F29" t="n">
        <v>0</v>
      </c>
      <c r="G29">
        <f>IFERROR(INDEX('01_STAFF'!$F:$F,MATCH(B29,'01_STAFF'!$A:$A,0))*E29,0)</f>
        <v/>
      </c>
    </row>
    <row r="30">
      <c r="A30" t="inlineStr">
        <is>
          <t>2025-10-09</t>
        </is>
      </c>
      <c r="B30" t="inlineStr">
        <is>
          <t>S01</t>
        </is>
      </c>
      <c r="C30" t="inlineStr">
        <is>
          <t>piggery</t>
        </is>
      </c>
      <c r="D30" t="inlineStr">
        <is>
          <t>Feeding</t>
        </is>
      </c>
      <c r="E30" t="n">
        <v>8</v>
      </c>
      <c r="F30" t="n">
        <v>0</v>
      </c>
      <c r="G30">
        <f>IFERROR(INDEX('01_STAFF'!$F:$F,MATCH(B30,'01_STAFF'!$A:$A,0))*E30,0)</f>
        <v/>
      </c>
    </row>
    <row r="31">
      <c r="A31" t="inlineStr">
        <is>
          <t>2025-10-09</t>
        </is>
      </c>
      <c r="B31" t="inlineStr">
        <is>
          <t>S02</t>
        </is>
      </c>
      <c r="C31" t="inlineStr">
        <is>
          <t>poultry</t>
        </is>
      </c>
      <c r="D31" t="inlineStr">
        <is>
          <t>Feeding</t>
        </is>
      </c>
      <c r="E31" t="n">
        <v>8</v>
      </c>
      <c r="F31" t="n">
        <v>0</v>
      </c>
      <c r="G31">
        <f>IFERROR(INDEX('01_STAFF'!$F:$F,MATCH(B31,'01_STAFF'!$A:$A,0))*E31,0)</f>
        <v/>
      </c>
    </row>
    <row r="32">
      <c r="A32" t="inlineStr">
        <is>
          <t>2025-10-09</t>
        </is>
      </c>
      <c r="B32" t="inlineStr">
        <is>
          <t>S04</t>
        </is>
      </c>
      <c r="C32" t="inlineStr">
        <is>
          <t>shared</t>
        </is>
      </c>
      <c r="D32" t="inlineStr">
        <is>
          <t>Marketing</t>
        </is>
      </c>
      <c r="E32" t="n">
        <v>6</v>
      </c>
      <c r="F32" t="n">
        <v>0</v>
      </c>
      <c r="G32">
        <f>IFERROR(INDEX('01_STAFF'!$F:$F,MATCH(B32,'01_STAFF'!$A:$A,0))*E32,0)</f>
        <v/>
      </c>
    </row>
    <row r="33">
      <c r="A33" t="inlineStr">
        <is>
          <t>2025-10-10</t>
        </is>
      </c>
      <c r="B33" t="inlineStr">
        <is>
          <t>S01</t>
        </is>
      </c>
      <c r="C33" t="inlineStr">
        <is>
          <t>piggery</t>
        </is>
      </c>
      <c r="D33" t="inlineStr">
        <is>
          <t>Vaccination</t>
        </is>
      </c>
      <c r="E33" t="n">
        <v>8</v>
      </c>
      <c r="F33" t="n">
        <v>0</v>
      </c>
      <c r="G33">
        <f>IFERROR(INDEX('01_STAFF'!$F:$F,MATCH(B33,'01_STAFF'!$A:$A,0))*E33,0)</f>
        <v/>
      </c>
    </row>
    <row r="34">
      <c r="A34" t="inlineStr">
        <is>
          <t>2025-10-10</t>
        </is>
      </c>
      <c r="B34" t="inlineStr">
        <is>
          <t>S02</t>
        </is>
      </c>
      <c r="C34" t="inlineStr">
        <is>
          <t>poultry</t>
        </is>
      </c>
      <c r="D34" t="inlineStr">
        <is>
          <t>Feeding</t>
        </is>
      </c>
      <c r="E34" t="n">
        <v>8</v>
      </c>
      <c r="F34" t="n">
        <v>0</v>
      </c>
      <c r="G34">
        <f>IFERROR(INDEX('01_STAFF'!$F:$F,MATCH(B34,'01_STAFF'!$A:$A,0))*E34,0)</f>
        <v/>
      </c>
    </row>
    <row r="35">
      <c r="A35" t="inlineStr">
        <is>
          <t>2025-10-10</t>
        </is>
      </c>
      <c r="B35" t="inlineStr">
        <is>
          <t>S03</t>
        </is>
      </c>
      <c r="C35" t="inlineStr">
        <is>
          <t>crops</t>
        </is>
      </c>
      <c r="D35" t="inlineStr">
        <is>
          <t>Harvest</t>
        </is>
      </c>
      <c r="E35" t="n">
        <v>8</v>
      </c>
      <c r="F35" t="n">
        <v>0</v>
      </c>
      <c r="G35">
        <f>IFERROR(INDEX('01_STAFF'!$F:$F,MATCH(B35,'01_STAFF'!$A:$A,0))*E35,0)</f>
        <v/>
      </c>
    </row>
    <row r="36">
      <c r="A36" t="inlineStr">
        <is>
          <t>2025-10-10</t>
        </is>
      </c>
      <c r="B36" t="inlineStr">
        <is>
          <t>S04</t>
        </is>
      </c>
      <c r="C36" t="inlineStr">
        <is>
          <t>shared</t>
        </is>
      </c>
      <c r="D36" t="inlineStr">
        <is>
          <t>Weighing</t>
        </is>
      </c>
      <c r="E36" t="n">
        <v>6</v>
      </c>
      <c r="F36" t="n">
        <v>1</v>
      </c>
      <c r="G36">
        <f>IFERROR(INDEX('01_STAFF'!$F:$F,MATCH(B36,'01_STAFF'!$A:$A,0))*E36,0)</f>
        <v/>
      </c>
    </row>
    <row r="37">
      <c r="A37" t="inlineStr">
        <is>
          <t>2025-10-11</t>
        </is>
      </c>
      <c r="B37" t="inlineStr">
        <is>
          <t>S01</t>
        </is>
      </c>
      <c r="C37" t="inlineStr">
        <is>
          <t>piggery</t>
        </is>
      </c>
      <c r="D37" t="inlineStr">
        <is>
          <t>Feeding</t>
        </is>
      </c>
      <c r="E37" t="n">
        <v>8</v>
      </c>
      <c r="F37" t="n">
        <v>0</v>
      </c>
      <c r="G37">
        <f>IFERROR(INDEX('01_STAFF'!$F:$F,MATCH(B37,'01_STAFF'!$A:$A,0))*E37,0)</f>
        <v/>
      </c>
    </row>
    <row r="38">
      <c r="A38" t="inlineStr">
        <is>
          <t>2025-10-11</t>
        </is>
      </c>
      <c r="B38" t="inlineStr">
        <is>
          <t>S02</t>
        </is>
      </c>
      <c r="C38" t="inlineStr">
        <is>
          <t>poultry</t>
        </is>
      </c>
      <c r="D38" t="inlineStr">
        <is>
          <t>Cleaning</t>
        </is>
      </c>
      <c r="E38" t="n">
        <v>8</v>
      </c>
      <c r="F38" t="n">
        <v>0</v>
      </c>
      <c r="G38">
        <f>IFERROR(INDEX('01_STAFF'!$F:$F,MATCH(B38,'01_STAFF'!$A:$A,0))*E38,0)</f>
        <v/>
      </c>
    </row>
    <row r="39">
      <c r="A39" t="inlineStr">
        <is>
          <t>2025-10-11</t>
        </is>
      </c>
      <c r="B39" t="inlineStr">
        <is>
          <t>S03</t>
        </is>
      </c>
      <c r="C39" t="inlineStr">
        <is>
          <t>crops</t>
        </is>
      </c>
      <c r="D39" t="inlineStr">
        <is>
          <t>Weeding</t>
        </is>
      </c>
      <c r="E39" t="n">
        <v>8</v>
      </c>
      <c r="F39" t="n">
        <v>0</v>
      </c>
      <c r="G39">
        <f>IFERROR(INDEX('01_STAFF'!$F:$F,MATCH(B39,'01_STAFF'!$A:$A,0))*E39,0)</f>
        <v/>
      </c>
    </row>
    <row r="40">
      <c r="A40" t="inlineStr">
        <is>
          <t>2025-10-11</t>
        </is>
      </c>
      <c r="B40" t="inlineStr">
        <is>
          <t>S04</t>
        </is>
      </c>
      <c r="C40" t="inlineStr">
        <is>
          <t>shared</t>
        </is>
      </c>
      <c r="D40" t="inlineStr">
        <is>
          <t>Marketing</t>
        </is>
      </c>
      <c r="E40" t="n">
        <v>6</v>
      </c>
      <c r="F40" t="n">
        <v>0</v>
      </c>
      <c r="G40">
        <f>IFERROR(INDEX('01_STAFF'!$F:$F,MATCH(B40,'01_STAFF'!$A:$A,0))*E40,0)</f>
        <v/>
      </c>
    </row>
    <row r="41">
      <c r="A41" t="inlineStr">
        <is>
          <t>2025-10-13</t>
        </is>
      </c>
      <c r="B41" t="inlineStr">
        <is>
          <t>S01</t>
        </is>
      </c>
      <c r="C41" t="inlineStr">
        <is>
          <t>piggery</t>
        </is>
      </c>
      <c r="D41" t="inlineStr">
        <is>
          <t>Weighing</t>
        </is>
      </c>
      <c r="E41" t="n">
        <v>8</v>
      </c>
      <c r="F41" t="n">
        <v>0</v>
      </c>
      <c r="G41">
        <f>IFERROR(INDEX('01_STAFF'!$F:$F,MATCH(B41,'01_STAFF'!$A:$A,0))*E41,0)</f>
        <v/>
      </c>
    </row>
    <row r="42">
      <c r="A42" t="inlineStr">
        <is>
          <t>2025-10-13</t>
        </is>
      </c>
      <c r="B42" t="inlineStr">
        <is>
          <t>S02</t>
        </is>
      </c>
      <c r="C42" t="inlineStr">
        <is>
          <t>poultry</t>
        </is>
      </c>
      <c r="D42" t="inlineStr">
        <is>
          <t>Feeding</t>
        </is>
      </c>
      <c r="E42" t="n">
        <v>8</v>
      </c>
      <c r="F42" t="n">
        <v>0</v>
      </c>
      <c r="G42">
        <f>IFERROR(INDEX('01_STAFF'!$F:$F,MATCH(B42,'01_STAFF'!$A:$A,0))*E42,0)</f>
        <v/>
      </c>
    </row>
    <row r="43">
      <c r="A43" t="inlineStr">
        <is>
          <t>2025-10-13</t>
        </is>
      </c>
      <c r="B43" t="inlineStr">
        <is>
          <t>S03</t>
        </is>
      </c>
      <c r="C43" t="inlineStr">
        <is>
          <t>crops</t>
        </is>
      </c>
      <c r="D43" t="inlineStr">
        <is>
          <t>Spraying</t>
        </is>
      </c>
      <c r="E43" t="n">
        <v>8</v>
      </c>
      <c r="F43" t="n">
        <v>0</v>
      </c>
      <c r="G43">
        <f>IFERROR(INDEX('01_STAFF'!$F:$F,MATCH(B43,'01_STAFF'!$A:$A,0))*E43,0)</f>
        <v/>
      </c>
    </row>
    <row r="44">
      <c r="A44" t="inlineStr">
        <is>
          <t>2025-10-13</t>
        </is>
      </c>
      <c r="B44" t="inlineStr">
        <is>
          <t>S04</t>
        </is>
      </c>
      <c r="C44" t="inlineStr">
        <is>
          <t>shared</t>
        </is>
      </c>
      <c r="D44" t="inlineStr">
        <is>
          <t>Maintenance</t>
        </is>
      </c>
      <c r="E44" t="n">
        <v>7</v>
      </c>
      <c r="F44" t="n">
        <v>0</v>
      </c>
      <c r="G44">
        <f>IFERROR(INDEX('01_STAFF'!$F:$F,MATCH(B44,'01_STAFF'!$A:$A,0))*E44,0)</f>
        <v/>
      </c>
    </row>
    <row r="45">
      <c r="A45" t="inlineStr">
        <is>
          <t>2025-10-14</t>
        </is>
      </c>
      <c r="B45" t="inlineStr">
        <is>
          <t>S01</t>
        </is>
      </c>
      <c r="C45" t="inlineStr">
        <is>
          <t>piggery</t>
        </is>
      </c>
      <c r="D45" t="inlineStr">
        <is>
          <t>Vaccination</t>
        </is>
      </c>
      <c r="E45" t="n">
        <v>8</v>
      </c>
      <c r="F45" t="n">
        <v>0</v>
      </c>
      <c r="G45">
        <f>IFERROR(INDEX('01_STAFF'!$F:$F,MATCH(B45,'01_STAFF'!$A:$A,0))*E45,0)</f>
        <v/>
      </c>
    </row>
    <row r="46">
      <c r="A46" t="inlineStr">
        <is>
          <t>2025-10-14</t>
        </is>
      </c>
      <c r="B46" t="inlineStr">
        <is>
          <t>S02</t>
        </is>
      </c>
      <c r="C46" t="inlineStr">
        <is>
          <t>poultry</t>
        </is>
      </c>
      <c r="D46" t="inlineStr">
        <is>
          <t>Cleaning</t>
        </is>
      </c>
      <c r="E46" t="n">
        <v>8</v>
      </c>
      <c r="F46" t="n">
        <v>0</v>
      </c>
      <c r="G46">
        <f>IFERROR(INDEX('01_STAFF'!$F:$F,MATCH(B46,'01_STAFF'!$A:$A,0))*E46,0)</f>
        <v/>
      </c>
    </row>
    <row r="47">
      <c r="A47" t="inlineStr">
        <is>
          <t>2025-10-14</t>
        </is>
      </c>
      <c r="B47" t="inlineStr">
        <is>
          <t>S03</t>
        </is>
      </c>
      <c r="C47" t="inlineStr">
        <is>
          <t>crops</t>
        </is>
      </c>
      <c r="D47" t="inlineStr">
        <is>
          <t>Land prep</t>
        </is>
      </c>
      <c r="E47" t="n">
        <v>8</v>
      </c>
      <c r="F47" t="n">
        <v>0</v>
      </c>
      <c r="G47">
        <f>IFERROR(INDEX('01_STAFF'!$F:$F,MATCH(B47,'01_STAFF'!$A:$A,0))*E47,0)</f>
        <v/>
      </c>
    </row>
    <row r="48">
      <c r="A48" t="inlineStr">
        <is>
          <t>2025-10-15</t>
        </is>
      </c>
      <c r="B48" t="inlineStr">
        <is>
          <t>S01</t>
        </is>
      </c>
      <c r="C48" t="inlineStr">
        <is>
          <t>piggery</t>
        </is>
      </c>
      <c r="D48" t="inlineStr">
        <is>
          <t>Cleaning</t>
        </is>
      </c>
      <c r="E48" t="n">
        <v>8</v>
      </c>
      <c r="F48" t="n">
        <v>0</v>
      </c>
      <c r="G48">
        <f>IFERROR(INDEX('01_STAFF'!$F:$F,MATCH(B48,'01_STAFF'!$A:$A,0))*E48,0)</f>
        <v/>
      </c>
    </row>
    <row r="49">
      <c r="A49" t="inlineStr">
        <is>
          <t>2025-10-15</t>
        </is>
      </c>
      <c r="B49" t="inlineStr">
        <is>
          <t>S02</t>
        </is>
      </c>
      <c r="C49" t="inlineStr">
        <is>
          <t>poultry</t>
        </is>
      </c>
      <c r="D49" t="inlineStr">
        <is>
          <t>Feeding</t>
        </is>
      </c>
      <c r="E49" t="n">
        <v>8</v>
      </c>
      <c r="F49" t="n">
        <v>0</v>
      </c>
      <c r="G49">
        <f>IFERROR(INDEX('01_STAFF'!$F:$F,MATCH(B49,'01_STAFF'!$A:$A,0))*E49,0)</f>
        <v/>
      </c>
    </row>
    <row r="50">
      <c r="A50" t="inlineStr">
        <is>
          <t>2025-10-15</t>
        </is>
      </c>
      <c r="B50" t="inlineStr">
        <is>
          <t>S03</t>
        </is>
      </c>
      <c r="C50" t="inlineStr">
        <is>
          <t>crops</t>
        </is>
      </c>
      <c r="D50" t="inlineStr">
        <is>
          <t>Spraying</t>
        </is>
      </c>
      <c r="E50" t="n">
        <v>8</v>
      </c>
      <c r="F50" t="n">
        <v>0</v>
      </c>
      <c r="G50">
        <f>IFERROR(INDEX('01_STAFF'!$F:$F,MATCH(B50,'01_STAFF'!$A:$A,0))*E50,0)</f>
        <v/>
      </c>
    </row>
    <row r="51">
      <c r="A51" t="inlineStr">
        <is>
          <t>2025-10-16</t>
        </is>
      </c>
      <c r="B51" t="inlineStr">
        <is>
          <t>S01</t>
        </is>
      </c>
      <c r="C51" t="inlineStr">
        <is>
          <t>piggery</t>
        </is>
      </c>
      <c r="D51" t="inlineStr">
        <is>
          <t>Cleaning</t>
        </is>
      </c>
      <c r="E51" t="n">
        <v>8</v>
      </c>
      <c r="F51" t="n">
        <v>0</v>
      </c>
      <c r="G51">
        <f>IFERROR(INDEX('01_STAFF'!$F:$F,MATCH(B51,'01_STAFF'!$A:$A,0))*E51,0)</f>
        <v/>
      </c>
    </row>
    <row r="52">
      <c r="A52" t="inlineStr">
        <is>
          <t>2025-10-16</t>
        </is>
      </c>
      <c r="B52" t="inlineStr">
        <is>
          <t>S02</t>
        </is>
      </c>
      <c r="C52" t="inlineStr">
        <is>
          <t>poultry</t>
        </is>
      </c>
      <c r="D52" t="inlineStr">
        <is>
          <t>Weighing</t>
        </is>
      </c>
      <c r="E52" t="n">
        <v>8</v>
      </c>
      <c r="F52" t="n">
        <v>0</v>
      </c>
      <c r="G52">
        <f>IFERROR(INDEX('01_STAFF'!$F:$F,MATCH(B52,'01_STAFF'!$A:$A,0))*E52,0)</f>
        <v/>
      </c>
    </row>
    <row r="53">
      <c r="A53" t="inlineStr">
        <is>
          <t>2025-10-16</t>
        </is>
      </c>
      <c r="B53" t="inlineStr">
        <is>
          <t>S03</t>
        </is>
      </c>
      <c r="C53" t="inlineStr">
        <is>
          <t>crops</t>
        </is>
      </c>
      <c r="D53" t="inlineStr">
        <is>
          <t>Weeding</t>
        </is>
      </c>
      <c r="E53" t="n">
        <v>8</v>
      </c>
      <c r="F53" t="n">
        <v>0</v>
      </c>
      <c r="G53">
        <f>IFERROR(INDEX('01_STAFF'!$F:$F,MATCH(B53,'01_STAFF'!$A:$A,0))*E53,0)</f>
        <v/>
      </c>
    </row>
    <row r="54">
      <c r="A54" t="inlineStr">
        <is>
          <t>2025-10-16</t>
        </is>
      </c>
      <c r="B54" t="inlineStr">
        <is>
          <t>S04</t>
        </is>
      </c>
      <c r="C54" t="inlineStr">
        <is>
          <t>shared</t>
        </is>
      </c>
      <c r="D54" t="inlineStr">
        <is>
          <t>Weighing</t>
        </is>
      </c>
      <c r="E54" t="n">
        <v>6</v>
      </c>
      <c r="F54" t="n">
        <v>0</v>
      </c>
      <c r="G54">
        <f>IFERROR(INDEX('01_STAFF'!$F:$F,MATCH(B54,'01_STAFF'!$A:$A,0))*E54,0)</f>
        <v/>
      </c>
    </row>
    <row r="55">
      <c r="A55" t="inlineStr">
        <is>
          <t>2025-10-17</t>
        </is>
      </c>
      <c r="B55" t="inlineStr">
        <is>
          <t>S02</t>
        </is>
      </c>
      <c r="C55" t="inlineStr">
        <is>
          <t>poultry</t>
        </is>
      </c>
      <c r="D55" t="inlineStr">
        <is>
          <t>Weighing</t>
        </is>
      </c>
      <c r="E55" t="n">
        <v>8</v>
      </c>
      <c r="F55" t="n">
        <v>0</v>
      </c>
      <c r="G55">
        <f>IFERROR(INDEX('01_STAFF'!$F:$F,MATCH(B55,'01_STAFF'!$A:$A,0))*E55,0)</f>
        <v/>
      </c>
    </row>
    <row r="56">
      <c r="A56" t="inlineStr">
        <is>
          <t>2025-10-17</t>
        </is>
      </c>
      <c r="B56" t="inlineStr">
        <is>
          <t>S03</t>
        </is>
      </c>
      <c r="C56" t="inlineStr">
        <is>
          <t>crops</t>
        </is>
      </c>
      <c r="D56" t="inlineStr">
        <is>
          <t>Spraying</t>
        </is>
      </c>
      <c r="E56" t="n">
        <v>8</v>
      </c>
      <c r="F56" t="n">
        <v>1</v>
      </c>
      <c r="G56">
        <f>IFERROR(INDEX('01_STAFF'!$F:$F,MATCH(B56,'01_STAFF'!$A:$A,0))*E56,0)</f>
        <v/>
      </c>
    </row>
    <row r="57">
      <c r="A57" t="inlineStr">
        <is>
          <t>2025-10-17</t>
        </is>
      </c>
      <c r="B57" t="inlineStr">
        <is>
          <t>S04</t>
        </is>
      </c>
      <c r="C57" t="inlineStr">
        <is>
          <t>shared</t>
        </is>
      </c>
      <c r="D57" t="inlineStr">
        <is>
          <t>Maintenance</t>
        </is>
      </c>
      <c r="E57" t="n">
        <v>5</v>
      </c>
      <c r="F57" t="n">
        <v>0</v>
      </c>
      <c r="G57">
        <f>IFERROR(INDEX('01_STAFF'!$F:$F,MATCH(B57,'01_STAFF'!$A:$A,0))*E57,0)</f>
        <v/>
      </c>
    </row>
    <row r="58">
      <c r="A58" t="inlineStr">
        <is>
          <t>2025-10-18</t>
        </is>
      </c>
      <c r="B58" t="inlineStr">
        <is>
          <t>S01</t>
        </is>
      </c>
      <c r="C58" t="inlineStr">
        <is>
          <t>piggery</t>
        </is>
      </c>
      <c r="D58" t="inlineStr">
        <is>
          <t>Weighing</t>
        </is>
      </c>
      <c r="E58" t="n">
        <v>8</v>
      </c>
      <c r="F58" t="n">
        <v>0</v>
      </c>
      <c r="G58">
        <f>IFERROR(INDEX('01_STAFF'!$F:$F,MATCH(B58,'01_STAFF'!$A:$A,0))*E58,0)</f>
        <v/>
      </c>
    </row>
    <row r="59">
      <c r="A59" t="inlineStr">
        <is>
          <t>2025-10-18</t>
        </is>
      </c>
      <c r="B59" t="inlineStr">
        <is>
          <t>S03</t>
        </is>
      </c>
      <c r="C59" t="inlineStr">
        <is>
          <t>crops</t>
        </is>
      </c>
      <c r="D59" t="inlineStr">
        <is>
          <t>Harvest</t>
        </is>
      </c>
      <c r="E59" t="n">
        <v>8</v>
      </c>
      <c r="F59" t="n">
        <v>0</v>
      </c>
      <c r="G59">
        <f>IFERROR(INDEX('01_STAFF'!$F:$F,MATCH(B59,'01_STAFF'!$A:$A,0))*E59,0)</f>
        <v/>
      </c>
    </row>
    <row r="60">
      <c r="A60" t="inlineStr">
        <is>
          <t>2025-10-18</t>
        </is>
      </c>
      <c r="B60" t="inlineStr">
        <is>
          <t>S04</t>
        </is>
      </c>
      <c r="C60" t="inlineStr">
        <is>
          <t>shared</t>
        </is>
      </c>
      <c r="D60" t="inlineStr">
        <is>
          <t>Maintenance</t>
        </is>
      </c>
      <c r="E60" t="n">
        <v>7</v>
      </c>
      <c r="F60" t="n">
        <v>0</v>
      </c>
      <c r="G60">
        <f>IFERROR(INDEX('01_STAFF'!$F:$F,MATCH(B60,'01_STAFF'!$A:$A,0))*E60,0)</f>
        <v/>
      </c>
    </row>
    <row r="61">
      <c r="A61" t="inlineStr">
        <is>
          <t>2025-10-20</t>
        </is>
      </c>
      <c r="B61" t="inlineStr">
        <is>
          <t>S01</t>
        </is>
      </c>
      <c r="C61" t="inlineStr">
        <is>
          <t>piggery</t>
        </is>
      </c>
      <c r="D61" t="inlineStr">
        <is>
          <t>Cleaning</t>
        </is>
      </c>
      <c r="E61" t="n">
        <v>8</v>
      </c>
      <c r="F61" t="n">
        <v>0</v>
      </c>
      <c r="G61">
        <f>IFERROR(INDEX('01_STAFF'!$F:$F,MATCH(B61,'01_STAFF'!$A:$A,0))*E61,0)</f>
        <v/>
      </c>
    </row>
    <row r="62">
      <c r="A62" t="inlineStr">
        <is>
          <t>2025-10-20</t>
        </is>
      </c>
      <c r="B62" t="inlineStr">
        <is>
          <t>S02</t>
        </is>
      </c>
      <c r="C62" t="inlineStr">
        <is>
          <t>poultry</t>
        </is>
      </c>
      <c r="D62" t="inlineStr">
        <is>
          <t>Feeding</t>
        </is>
      </c>
      <c r="E62" t="n">
        <v>8</v>
      </c>
      <c r="F62" t="n">
        <v>1</v>
      </c>
      <c r="G62">
        <f>IFERROR(INDEX('01_STAFF'!$F:$F,MATCH(B62,'01_STAFF'!$A:$A,0))*E62,0)</f>
        <v/>
      </c>
    </row>
    <row r="63">
      <c r="A63" t="inlineStr">
        <is>
          <t>2025-10-20</t>
        </is>
      </c>
      <c r="B63" t="inlineStr">
        <is>
          <t>S03</t>
        </is>
      </c>
      <c r="C63" t="inlineStr">
        <is>
          <t>crops</t>
        </is>
      </c>
      <c r="D63" t="inlineStr">
        <is>
          <t>Spraying</t>
        </is>
      </c>
      <c r="E63" t="n">
        <v>8</v>
      </c>
      <c r="F63" t="n">
        <v>0</v>
      </c>
      <c r="G63">
        <f>IFERROR(INDEX('01_STAFF'!$F:$F,MATCH(B63,'01_STAFF'!$A:$A,0))*E63,0)</f>
        <v/>
      </c>
    </row>
    <row r="64">
      <c r="A64" t="inlineStr">
        <is>
          <t>2025-10-20</t>
        </is>
      </c>
      <c r="B64" t="inlineStr">
        <is>
          <t>S04</t>
        </is>
      </c>
      <c r="C64" t="inlineStr">
        <is>
          <t>shared</t>
        </is>
      </c>
      <c r="D64" t="inlineStr">
        <is>
          <t>Marketing</t>
        </is>
      </c>
      <c r="E64" t="n">
        <v>5</v>
      </c>
      <c r="F64" t="n">
        <v>0</v>
      </c>
      <c r="G64">
        <f>IFERROR(INDEX('01_STAFF'!$F:$F,MATCH(B64,'01_STAFF'!$A:$A,0))*E64,0)</f>
        <v/>
      </c>
    </row>
    <row r="65">
      <c r="A65" t="inlineStr">
        <is>
          <t>2025-10-21</t>
        </is>
      </c>
      <c r="B65" t="inlineStr">
        <is>
          <t>S01</t>
        </is>
      </c>
      <c r="C65" t="inlineStr">
        <is>
          <t>piggery</t>
        </is>
      </c>
      <c r="D65" t="inlineStr">
        <is>
          <t>Weighing</t>
        </is>
      </c>
      <c r="E65" t="n">
        <v>8</v>
      </c>
      <c r="F65" t="n">
        <v>0</v>
      </c>
      <c r="G65">
        <f>IFERROR(INDEX('01_STAFF'!$F:$F,MATCH(B65,'01_STAFF'!$A:$A,0))*E65,0)</f>
        <v/>
      </c>
    </row>
    <row r="66">
      <c r="A66" t="inlineStr">
        <is>
          <t>2025-10-21</t>
        </is>
      </c>
      <c r="B66" t="inlineStr">
        <is>
          <t>S02</t>
        </is>
      </c>
      <c r="C66" t="inlineStr">
        <is>
          <t>poultry</t>
        </is>
      </c>
      <c r="D66" t="inlineStr">
        <is>
          <t>Weighing</t>
        </is>
      </c>
      <c r="E66" t="n">
        <v>8</v>
      </c>
      <c r="F66" t="n">
        <v>0</v>
      </c>
      <c r="G66">
        <f>IFERROR(INDEX('01_STAFF'!$F:$F,MATCH(B66,'01_STAFF'!$A:$A,0))*E66,0)</f>
        <v/>
      </c>
    </row>
    <row r="67">
      <c r="A67" t="inlineStr">
        <is>
          <t>2025-10-21</t>
        </is>
      </c>
      <c r="B67" t="inlineStr">
        <is>
          <t>S03</t>
        </is>
      </c>
      <c r="C67" t="inlineStr">
        <is>
          <t>crops</t>
        </is>
      </c>
      <c r="D67" t="inlineStr">
        <is>
          <t>Harvest</t>
        </is>
      </c>
      <c r="E67" t="n">
        <v>8</v>
      </c>
      <c r="F67" t="n">
        <v>0</v>
      </c>
      <c r="G67">
        <f>IFERROR(INDEX('01_STAFF'!$F:$F,MATCH(B67,'01_STAFF'!$A:$A,0))*E67,0)</f>
        <v/>
      </c>
    </row>
    <row r="68">
      <c r="A68" t="inlineStr">
        <is>
          <t>2025-10-21</t>
        </is>
      </c>
      <c r="B68" t="inlineStr">
        <is>
          <t>S04</t>
        </is>
      </c>
      <c r="C68" t="inlineStr">
        <is>
          <t>shared</t>
        </is>
      </c>
      <c r="D68" t="inlineStr">
        <is>
          <t>Maintenance</t>
        </is>
      </c>
      <c r="E68" t="n">
        <v>7</v>
      </c>
      <c r="F68" t="n">
        <v>0</v>
      </c>
      <c r="G68">
        <f>IFERROR(INDEX('01_STAFF'!$F:$F,MATCH(B68,'01_STAFF'!$A:$A,0))*E68,0)</f>
        <v/>
      </c>
    </row>
    <row r="69">
      <c r="A69" t="inlineStr">
        <is>
          <t>2025-10-22</t>
        </is>
      </c>
      <c r="B69" t="inlineStr">
        <is>
          <t>S01</t>
        </is>
      </c>
      <c r="C69" t="inlineStr">
        <is>
          <t>piggery</t>
        </is>
      </c>
      <c r="D69" t="inlineStr">
        <is>
          <t>Weighing</t>
        </is>
      </c>
      <c r="E69" t="n">
        <v>8</v>
      </c>
      <c r="F69" t="n">
        <v>0</v>
      </c>
      <c r="G69">
        <f>IFERROR(INDEX('01_STAFF'!$F:$F,MATCH(B69,'01_STAFF'!$A:$A,0))*E69,0)</f>
        <v/>
      </c>
    </row>
    <row r="70">
      <c r="A70" t="inlineStr">
        <is>
          <t>2025-10-22</t>
        </is>
      </c>
      <c r="B70" t="inlineStr">
        <is>
          <t>S02</t>
        </is>
      </c>
      <c r="C70" t="inlineStr">
        <is>
          <t>poultry</t>
        </is>
      </c>
      <c r="D70" t="inlineStr">
        <is>
          <t>Feeding</t>
        </is>
      </c>
      <c r="E70" t="n">
        <v>8</v>
      </c>
      <c r="F70" t="n">
        <v>0</v>
      </c>
      <c r="G70">
        <f>IFERROR(INDEX('01_STAFF'!$F:$F,MATCH(B70,'01_STAFF'!$A:$A,0))*E70,0)</f>
        <v/>
      </c>
    </row>
    <row r="71">
      <c r="A71" t="inlineStr">
        <is>
          <t>2025-10-22</t>
        </is>
      </c>
      <c r="B71" t="inlineStr">
        <is>
          <t>S03</t>
        </is>
      </c>
      <c r="C71" t="inlineStr">
        <is>
          <t>crops</t>
        </is>
      </c>
      <c r="D71" t="inlineStr">
        <is>
          <t>Maintenance</t>
        </is>
      </c>
      <c r="E71" t="n">
        <v>8</v>
      </c>
      <c r="F71" t="n">
        <v>0</v>
      </c>
      <c r="G71">
        <f>IFERROR(INDEX('01_STAFF'!$F:$F,MATCH(B71,'01_STAFF'!$A:$A,0))*E71,0)</f>
        <v/>
      </c>
    </row>
    <row r="72">
      <c r="A72" t="inlineStr">
        <is>
          <t>2025-10-22</t>
        </is>
      </c>
      <c r="B72" t="inlineStr">
        <is>
          <t>S04</t>
        </is>
      </c>
      <c r="C72" t="inlineStr">
        <is>
          <t>shared</t>
        </is>
      </c>
      <c r="D72" t="inlineStr">
        <is>
          <t>Weighing</t>
        </is>
      </c>
      <c r="E72" t="n">
        <v>5</v>
      </c>
      <c r="F72" t="n">
        <v>0</v>
      </c>
      <c r="G72">
        <f>IFERROR(INDEX('01_STAFF'!$F:$F,MATCH(B72,'01_STAFF'!$A:$A,0))*E72,0)</f>
        <v/>
      </c>
    </row>
    <row r="73">
      <c r="A73" t="inlineStr">
        <is>
          <t>2025-10-23</t>
        </is>
      </c>
      <c r="B73" t="inlineStr">
        <is>
          <t>S01</t>
        </is>
      </c>
      <c r="C73" t="inlineStr">
        <is>
          <t>piggery</t>
        </is>
      </c>
      <c r="D73" t="inlineStr">
        <is>
          <t>Weighing</t>
        </is>
      </c>
      <c r="E73" t="n">
        <v>8</v>
      </c>
      <c r="F73" t="n">
        <v>0</v>
      </c>
      <c r="G73">
        <f>IFERROR(INDEX('01_STAFF'!$F:$F,MATCH(B73,'01_STAFF'!$A:$A,0))*E73,0)</f>
        <v/>
      </c>
    </row>
    <row r="74">
      <c r="A74" t="inlineStr">
        <is>
          <t>2025-10-23</t>
        </is>
      </c>
      <c r="B74" t="inlineStr">
        <is>
          <t>S02</t>
        </is>
      </c>
      <c r="C74" t="inlineStr">
        <is>
          <t>poultry</t>
        </is>
      </c>
      <c r="D74" t="inlineStr">
        <is>
          <t>Cleaning</t>
        </is>
      </c>
      <c r="E74" t="n">
        <v>8</v>
      </c>
      <c r="F74" t="n">
        <v>0</v>
      </c>
      <c r="G74">
        <f>IFERROR(INDEX('01_STAFF'!$F:$F,MATCH(B74,'01_STAFF'!$A:$A,0))*E74,0)</f>
        <v/>
      </c>
    </row>
    <row r="75">
      <c r="A75" t="inlineStr">
        <is>
          <t>2025-10-23</t>
        </is>
      </c>
      <c r="B75" t="inlineStr">
        <is>
          <t>S03</t>
        </is>
      </c>
      <c r="C75" t="inlineStr">
        <is>
          <t>crops</t>
        </is>
      </c>
      <c r="D75" t="inlineStr">
        <is>
          <t>Weeding</t>
        </is>
      </c>
      <c r="E75" t="n">
        <v>8</v>
      </c>
      <c r="F75" t="n">
        <v>0</v>
      </c>
      <c r="G75">
        <f>IFERROR(INDEX('01_STAFF'!$F:$F,MATCH(B75,'01_STAFF'!$A:$A,0))*E75,0)</f>
        <v/>
      </c>
    </row>
    <row r="76">
      <c r="A76" t="inlineStr">
        <is>
          <t>2025-10-23</t>
        </is>
      </c>
      <c r="B76" t="inlineStr">
        <is>
          <t>S04</t>
        </is>
      </c>
      <c r="C76" t="inlineStr">
        <is>
          <t>shared</t>
        </is>
      </c>
      <c r="D76" t="inlineStr">
        <is>
          <t>Marketing</t>
        </is>
      </c>
      <c r="E76" t="n">
        <v>6</v>
      </c>
      <c r="F76" t="n">
        <v>0</v>
      </c>
      <c r="G76">
        <f>IFERROR(INDEX('01_STAFF'!$F:$F,MATCH(B76,'01_STAFF'!$A:$A,0))*E76,0)</f>
        <v/>
      </c>
    </row>
    <row r="77">
      <c r="A77" t="inlineStr">
        <is>
          <t>2025-10-24</t>
        </is>
      </c>
      <c r="B77" t="inlineStr">
        <is>
          <t>S01</t>
        </is>
      </c>
      <c r="C77" t="inlineStr">
        <is>
          <t>piggery</t>
        </is>
      </c>
      <c r="D77" t="inlineStr">
        <is>
          <t>Cleaning</t>
        </is>
      </c>
      <c r="E77" t="n">
        <v>8</v>
      </c>
      <c r="F77" t="n">
        <v>0</v>
      </c>
      <c r="G77">
        <f>IFERROR(INDEX('01_STAFF'!$F:$F,MATCH(B77,'01_STAFF'!$A:$A,0))*E77,0)</f>
        <v/>
      </c>
    </row>
    <row r="78">
      <c r="A78" t="inlineStr">
        <is>
          <t>2025-10-24</t>
        </is>
      </c>
      <c r="B78" t="inlineStr">
        <is>
          <t>S02</t>
        </is>
      </c>
      <c r="C78" t="inlineStr">
        <is>
          <t>poultry</t>
        </is>
      </c>
      <c r="D78" t="inlineStr">
        <is>
          <t>Feeding</t>
        </is>
      </c>
      <c r="E78" t="n">
        <v>8</v>
      </c>
      <c r="F78" t="n">
        <v>0</v>
      </c>
      <c r="G78">
        <f>IFERROR(INDEX('01_STAFF'!$F:$F,MATCH(B78,'01_STAFF'!$A:$A,0))*E78,0)</f>
        <v/>
      </c>
    </row>
    <row r="79">
      <c r="A79" t="inlineStr">
        <is>
          <t>2025-10-24</t>
        </is>
      </c>
      <c r="B79" t="inlineStr">
        <is>
          <t>S03</t>
        </is>
      </c>
      <c r="C79" t="inlineStr">
        <is>
          <t>crops</t>
        </is>
      </c>
      <c r="D79" t="inlineStr">
        <is>
          <t>Weeding</t>
        </is>
      </c>
      <c r="E79" t="n">
        <v>8</v>
      </c>
      <c r="F79" t="n">
        <v>0</v>
      </c>
      <c r="G79">
        <f>IFERROR(INDEX('01_STAFF'!$F:$F,MATCH(B79,'01_STAFF'!$A:$A,0))*E79,0)</f>
        <v/>
      </c>
    </row>
    <row r="80">
      <c r="A80" t="inlineStr">
        <is>
          <t>2025-10-24</t>
        </is>
      </c>
      <c r="B80" t="inlineStr">
        <is>
          <t>S04</t>
        </is>
      </c>
      <c r="C80" t="inlineStr">
        <is>
          <t>shared</t>
        </is>
      </c>
      <c r="D80" t="inlineStr">
        <is>
          <t>Weighing</t>
        </is>
      </c>
      <c r="E80" t="n">
        <v>7</v>
      </c>
      <c r="F80" t="n">
        <v>0</v>
      </c>
      <c r="G80">
        <f>IFERROR(INDEX('01_STAFF'!$F:$F,MATCH(B80,'01_STAFF'!$A:$A,0))*E80,0)</f>
        <v/>
      </c>
    </row>
    <row r="81">
      <c r="A81" t="inlineStr">
        <is>
          <t>2025-10-25</t>
        </is>
      </c>
      <c r="B81" t="inlineStr">
        <is>
          <t>S01</t>
        </is>
      </c>
      <c r="C81" t="inlineStr">
        <is>
          <t>piggery</t>
        </is>
      </c>
      <c r="D81" t="inlineStr">
        <is>
          <t>Weighing</t>
        </is>
      </c>
      <c r="E81" t="n">
        <v>8</v>
      </c>
      <c r="F81" t="n">
        <v>0</v>
      </c>
      <c r="G81">
        <f>IFERROR(INDEX('01_STAFF'!$F:$F,MATCH(B81,'01_STAFF'!$A:$A,0))*E81,0)</f>
        <v/>
      </c>
    </row>
    <row r="82">
      <c r="A82" t="inlineStr">
        <is>
          <t>2025-10-25</t>
        </is>
      </c>
      <c r="B82" t="inlineStr">
        <is>
          <t>S02</t>
        </is>
      </c>
      <c r="C82" t="inlineStr">
        <is>
          <t>poultry</t>
        </is>
      </c>
      <c r="D82" t="inlineStr">
        <is>
          <t>Cleaning</t>
        </is>
      </c>
      <c r="E82" t="n">
        <v>8</v>
      </c>
      <c r="F82" t="n">
        <v>0</v>
      </c>
      <c r="G82">
        <f>IFERROR(INDEX('01_STAFF'!$F:$F,MATCH(B82,'01_STAFF'!$A:$A,0))*E82,0)</f>
        <v/>
      </c>
    </row>
    <row r="83">
      <c r="A83" t="inlineStr">
        <is>
          <t>2025-10-25</t>
        </is>
      </c>
      <c r="B83" t="inlineStr">
        <is>
          <t>S03</t>
        </is>
      </c>
      <c r="C83" t="inlineStr">
        <is>
          <t>crops</t>
        </is>
      </c>
      <c r="D83" t="inlineStr">
        <is>
          <t>Maintenance</t>
        </is>
      </c>
      <c r="E83" t="n">
        <v>8</v>
      </c>
      <c r="F83" t="n">
        <v>0</v>
      </c>
      <c r="G83">
        <f>IFERROR(INDEX('01_STAFF'!$F:$F,MATCH(B83,'01_STAFF'!$A:$A,0))*E83,0)</f>
        <v/>
      </c>
    </row>
    <row r="84">
      <c r="A84" t="inlineStr">
        <is>
          <t>2025-10-25</t>
        </is>
      </c>
      <c r="B84" t="inlineStr">
        <is>
          <t>S04</t>
        </is>
      </c>
      <c r="C84" t="inlineStr">
        <is>
          <t>shared</t>
        </is>
      </c>
      <c r="D84" t="inlineStr">
        <is>
          <t>Marketing</t>
        </is>
      </c>
      <c r="E84" t="n">
        <v>6</v>
      </c>
      <c r="F84" t="n">
        <v>0</v>
      </c>
      <c r="G84">
        <f>IFERROR(INDEX('01_STAFF'!$F:$F,MATCH(B84,'01_STAFF'!$A:$A,0))*E84,0)</f>
        <v/>
      </c>
    </row>
    <row r="85">
      <c r="A85" t="inlineStr">
        <is>
          <t>2025-10-26</t>
        </is>
      </c>
      <c r="B85" t="inlineStr">
        <is>
          <t>S02</t>
        </is>
      </c>
      <c r="C85" t="inlineStr">
        <is>
          <t>poultry</t>
        </is>
      </c>
      <c r="D85" t="inlineStr">
        <is>
          <t>Cleaning</t>
        </is>
      </c>
      <c r="E85" t="n">
        <v>8</v>
      </c>
      <c r="F85" t="n">
        <v>0</v>
      </c>
      <c r="G85">
        <f>IFERROR(INDEX('01_STAFF'!$F:$F,MATCH(B85,'01_STAFF'!$A:$A,0))*E85,0)</f>
        <v/>
      </c>
    </row>
    <row r="86">
      <c r="A86" t="inlineStr">
        <is>
          <t>2025-10-26</t>
        </is>
      </c>
      <c r="B86" t="inlineStr">
        <is>
          <t>S03</t>
        </is>
      </c>
      <c r="C86" t="inlineStr">
        <is>
          <t>crops</t>
        </is>
      </c>
      <c r="D86" t="inlineStr">
        <is>
          <t>Spraying</t>
        </is>
      </c>
      <c r="E86" t="n">
        <v>8</v>
      </c>
      <c r="F86" t="n">
        <v>0</v>
      </c>
      <c r="G86">
        <f>IFERROR(INDEX('01_STAFF'!$F:$F,MATCH(B86,'01_STAFF'!$A:$A,0))*E86,0)</f>
        <v/>
      </c>
    </row>
    <row r="87">
      <c r="A87" t="inlineStr">
        <is>
          <t>2025-10-26</t>
        </is>
      </c>
      <c r="B87" t="inlineStr">
        <is>
          <t>S04</t>
        </is>
      </c>
      <c r="C87" t="inlineStr">
        <is>
          <t>shared</t>
        </is>
      </c>
      <c r="D87" t="inlineStr">
        <is>
          <t>Weighing</t>
        </is>
      </c>
      <c r="E87" t="n">
        <v>5</v>
      </c>
      <c r="F87" t="n">
        <v>0</v>
      </c>
      <c r="G87">
        <f>IFERROR(INDEX('01_STAFF'!$F:$F,MATCH(B87,'01_STAFF'!$A:$A,0))*E87,0)</f>
        <v/>
      </c>
    </row>
    <row r="88">
      <c r="A88" t="inlineStr">
        <is>
          <t>2025-10-27</t>
        </is>
      </c>
      <c r="B88" t="inlineStr">
        <is>
          <t>S02</t>
        </is>
      </c>
      <c r="C88" t="inlineStr">
        <is>
          <t>poultry</t>
        </is>
      </c>
      <c r="D88" t="inlineStr">
        <is>
          <t>Feeding</t>
        </is>
      </c>
      <c r="E88" t="n">
        <v>8</v>
      </c>
      <c r="F88" t="n">
        <v>0</v>
      </c>
      <c r="G88">
        <f>IFERROR(INDEX('01_STAFF'!$F:$F,MATCH(B88,'01_STAFF'!$A:$A,0))*E88,0)</f>
        <v/>
      </c>
    </row>
    <row r="89">
      <c r="A89" t="inlineStr">
        <is>
          <t>2025-10-27</t>
        </is>
      </c>
      <c r="B89" t="inlineStr">
        <is>
          <t>S03</t>
        </is>
      </c>
      <c r="C89" t="inlineStr">
        <is>
          <t>crops</t>
        </is>
      </c>
      <c r="D89" t="inlineStr">
        <is>
          <t>Weeding</t>
        </is>
      </c>
      <c r="E89" t="n">
        <v>8</v>
      </c>
      <c r="F89" t="n">
        <v>0</v>
      </c>
      <c r="G89">
        <f>IFERROR(INDEX('01_STAFF'!$F:$F,MATCH(B89,'01_STAFF'!$A:$A,0))*E89,0)</f>
        <v/>
      </c>
    </row>
    <row r="90">
      <c r="A90" t="inlineStr">
        <is>
          <t>2025-10-27</t>
        </is>
      </c>
      <c r="B90" t="inlineStr">
        <is>
          <t>S04</t>
        </is>
      </c>
      <c r="C90" t="inlineStr">
        <is>
          <t>shared</t>
        </is>
      </c>
      <c r="D90" t="inlineStr">
        <is>
          <t>Marketing</t>
        </is>
      </c>
      <c r="E90" t="n">
        <v>5</v>
      </c>
      <c r="F90" t="n">
        <v>0</v>
      </c>
      <c r="G90">
        <f>IFERROR(INDEX('01_STAFF'!$F:$F,MATCH(B90,'01_STAFF'!$A:$A,0))*E90,0)</f>
        <v/>
      </c>
    </row>
    <row r="91">
      <c r="A91" t="inlineStr">
        <is>
          <t>2025-10-28</t>
        </is>
      </c>
      <c r="B91" t="inlineStr">
        <is>
          <t>S01</t>
        </is>
      </c>
      <c r="C91" t="inlineStr">
        <is>
          <t>piggery</t>
        </is>
      </c>
      <c r="D91" t="inlineStr">
        <is>
          <t>Vaccination</t>
        </is>
      </c>
      <c r="E91" t="n">
        <v>8</v>
      </c>
      <c r="F91" t="n">
        <v>0</v>
      </c>
      <c r="G91">
        <f>IFERROR(INDEX('01_STAFF'!$F:$F,MATCH(B91,'01_STAFF'!$A:$A,0))*E91,0)</f>
        <v/>
      </c>
    </row>
    <row r="92">
      <c r="A92" t="inlineStr">
        <is>
          <t>2025-10-28</t>
        </is>
      </c>
      <c r="B92" t="inlineStr">
        <is>
          <t>S02</t>
        </is>
      </c>
      <c r="C92" t="inlineStr">
        <is>
          <t>poultry</t>
        </is>
      </c>
      <c r="D92" t="inlineStr">
        <is>
          <t>Cleaning</t>
        </is>
      </c>
      <c r="E92" t="n">
        <v>8</v>
      </c>
      <c r="F92" t="n">
        <v>0</v>
      </c>
      <c r="G92">
        <f>IFERROR(INDEX('01_STAFF'!$F:$F,MATCH(B92,'01_STAFF'!$A:$A,0))*E92,0)</f>
        <v/>
      </c>
    </row>
    <row r="93">
      <c r="A93" t="inlineStr">
        <is>
          <t>2025-10-28</t>
        </is>
      </c>
      <c r="B93" t="inlineStr">
        <is>
          <t>S03</t>
        </is>
      </c>
      <c r="C93" t="inlineStr">
        <is>
          <t>crops</t>
        </is>
      </c>
      <c r="D93" t="inlineStr">
        <is>
          <t>Maintenance</t>
        </is>
      </c>
      <c r="E93" t="n">
        <v>8</v>
      </c>
      <c r="F93" t="n">
        <v>0</v>
      </c>
      <c r="G93">
        <f>IFERROR(INDEX('01_STAFF'!$F:$F,MATCH(B93,'01_STAFF'!$A:$A,0))*E93,0)</f>
        <v/>
      </c>
    </row>
    <row r="94">
      <c r="A94" t="inlineStr">
        <is>
          <t>2025-10-28</t>
        </is>
      </c>
      <c r="B94" t="inlineStr">
        <is>
          <t>S04</t>
        </is>
      </c>
      <c r="C94" t="inlineStr">
        <is>
          <t>shared</t>
        </is>
      </c>
      <c r="D94" t="inlineStr">
        <is>
          <t>Vaccination</t>
        </is>
      </c>
      <c r="E94" t="n">
        <v>6</v>
      </c>
      <c r="F94" t="n">
        <v>0</v>
      </c>
      <c r="G94">
        <f>IFERROR(INDEX('01_STAFF'!$F:$F,MATCH(B94,'01_STAFF'!$A:$A,0))*E94,0)</f>
        <v/>
      </c>
    </row>
    <row r="95">
      <c r="A95" t="inlineStr">
        <is>
          <t>2025-10-29</t>
        </is>
      </c>
      <c r="B95" t="inlineStr">
        <is>
          <t>S01</t>
        </is>
      </c>
      <c r="C95" t="inlineStr">
        <is>
          <t>piggery</t>
        </is>
      </c>
      <c r="D95" t="inlineStr">
        <is>
          <t>Feeding</t>
        </is>
      </c>
      <c r="E95" t="n">
        <v>8</v>
      </c>
      <c r="F95" t="n">
        <v>0</v>
      </c>
      <c r="G95">
        <f>IFERROR(INDEX('01_STAFF'!$F:$F,MATCH(B95,'01_STAFF'!$A:$A,0))*E95,0)</f>
        <v/>
      </c>
    </row>
    <row r="96">
      <c r="A96" t="inlineStr">
        <is>
          <t>2025-10-29</t>
        </is>
      </c>
      <c r="B96" t="inlineStr">
        <is>
          <t>S02</t>
        </is>
      </c>
      <c r="C96" t="inlineStr">
        <is>
          <t>poultry</t>
        </is>
      </c>
      <c r="D96" t="inlineStr">
        <is>
          <t>Feeding</t>
        </is>
      </c>
      <c r="E96" t="n">
        <v>8</v>
      </c>
      <c r="F96" t="n">
        <v>0</v>
      </c>
      <c r="G96">
        <f>IFERROR(INDEX('01_STAFF'!$F:$F,MATCH(B96,'01_STAFF'!$A:$A,0))*E96,0)</f>
        <v/>
      </c>
    </row>
    <row r="97">
      <c r="A97" t="inlineStr">
        <is>
          <t>2025-10-29</t>
        </is>
      </c>
      <c r="B97" t="inlineStr">
        <is>
          <t>S03</t>
        </is>
      </c>
      <c r="C97" t="inlineStr">
        <is>
          <t>crops</t>
        </is>
      </c>
      <c r="D97" t="inlineStr">
        <is>
          <t>Maintenance</t>
        </is>
      </c>
      <c r="E97" t="n">
        <v>8</v>
      </c>
      <c r="F97" t="n">
        <v>0</v>
      </c>
      <c r="G97">
        <f>IFERROR(INDEX('01_STAFF'!$F:$F,MATCH(B97,'01_STAFF'!$A:$A,0))*E97,0)</f>
        <v/>
      </c>
    </row>
    <row r="98">
      <c r="A98" t="inlineStr">
        <is>
          <t>2025-10-29</t>
        </is>
      </c>
      <c r="B98" t="inlineStr">
        <is>
          <t>S04</t>
        </is>
      </c>
      <c r="C98" t="inlineStr">
        <is>
          <t>shared</t>
        </is>
      </c>
      <c r="D98" t="inlineStr">
        <is>
          <t>Weighing</t>
        </is>
      </c>
      <c r="E98" t="n">
        <v>6</v>
      </c>
      <c r="F98" t="n">
        <v>0</v>
      </c>
      <c r="G98">
        <f>IFERROR(INDEX('01_STAFF'!$F:$F,MATCH(B98,'01_STAFF'!$A:$A,0))*E98,0)</f>
        <v/>
      </c>
    </row>
    <row r="99">
      <c r="A99" t="inlineStr">
        <is>
          <t>2025-10-30</t>
        </is>
      </c>
      <c r="B99" t="inlineStr">
        <is>
          <t>S02</t>
        </is>
      </c>
      <c r="C99" t="inlineStr">
        <is>
          <t>poultry</t>
        </is>
      </c>
      <c r="D99" t="inlineStr">
        <is>
          <t>Vaccination</t>
        </is>
      </c>
      <c r="E99" t="n">
        <v>8</v>
      </c>
      <c r="F99" t="n">
        <v>0</v>
      </c>
      <c r="G99">
        <f>IFERROR(INDEX('01_STAFF'!$F:$F,MATCH(B99,'01_STAFF'!$A:$A,0))*E99,0)</f>
        <v/>
      </c>
    </row>
    <row r="100">
      <c r="A100" t="inlineStr">
        <is>
          <t>2025-10-30</t>
        </is>
      </c>
      <c r="B100" t="inlineStr">
        <is>
          <t>S03</t>
        </is>
      </c>
      <c r="C100" t="inlineStr">
        <is>
          <t>crops</t>
        </is>
      </c>
      <c r="D100" t="inlineStr">
        <is>
          <t>Spraying</t>
        </is>
      </c>
      <c r="E100" t="n">
        <v>8</v>
      </c>
      <c r="F100" t="n">
        <v>0</v>
      </c>
      <c r="G100">
        <f>IFERROR(INDEX('01_STAFF'!$F:$F,MATCH(B100,'01_STAFF'!$A:$A,0))*E100,0)</f>
        <v/>
      </c>
    </row>
    <row r="101">
      <c r="A101" t="inlineStr">
        <is>
          <t>2025-10-30</t>
        </is>
      </c>
      <c r="B101" t="inlineStr">
        <is>
          <t>S04</t>
        </is>
      </c>
      <c r="C101" t="inlineStr">
        <is>
          <t>shared</t>
        </is>
      </c>
      <c r="D101" t="inlineStr">
        <is>
          <t>Maintenance</t>
        </is>
      </c>
      <c r="E101" t="n">
        <v>6</v>
      </c>
      <c r="F101" t="n">
        <v>0</v>
      </c>
      <c r="G101">
        <f>IFERROR(INDEX('01_STAFF'!$F:$F,MATCH(B101,'01_STAFF'!$A:$A,0))*E101,0)</f>
        <v/>
      </c>
    </row>
    <row r="102">
      <c r="A102" t="inlineStr">
        <is>
          <t>2025-10-31</t>
        </is>
      </c>
      <c r="B102" t="inlineStr">
        <is>
          <t>S01</t>
        </is>
      </c>
      <c r="C102" t="inlineStr">
        <is>
          <t>piggery</t>
        </is>
      </c>
      <c r="D102" t="inlineStr">
        <is>
          <t>Vaccination</t>
        </is>
      </c>
      <c r="E102" t="n">
        <v>8</v>
      </c>
      <c r="F102" t="n">
        <v>1</v>
      </c>
      <c r="G102">
        <f>IFERROR(INDEX('01_STAFF'!$F:$F,MATCH(B102,'01_STAFF'!$A:$A,0))*E102,0)</f>
        <v/>
      </c>
    </row>
    <row r="103">
      <c r="A103" t="inlineStr">
        <is>
          <t>2025-10-31</t>
        </is>
      </c>
      <c r="B103" t="inlineStr">
        <is>
          <t>S02</t>
        </is>
      </c>
      <c r="C103" t="inlineStr">
        <is>
          <t>poultry</t>
        </is>
      </c>
      <c r="D103" t="inlineStr">
        <is>
          <t>Cleaning</t>
        </is>
      </c>
      <c r="E103" t="n">
        <v>8</v>
      </c>
      <c r="F103" t="n">
        <v>0</v>
      </c>
      <c r="G103">
        <f>IFERROR(INDEX('01_STAFF'!$F:$F,MATCH(B103,'01_STAFF'!$A:$A,0))*E103,0)</f>
        <v/>
      </c>
    </row>
    <row r="104">
      <c r="A104" t="inlineStr">
        <is>
          <t>2025-10-31</t>
        </is>
      </c>
      <c r="B104" t="inlineStr">
        <is>
          <t>S03</t>
        </is>
      </c>
      <c r="C104" t="inlineStr">
        <is>
          <t>crops</t>
        </is>
      </c>
      <c r="D104" t="inlineStr">
        <is>
          <t>Maintenance</t>
        </is>
      </c>
      <c r="E104" t="n">
        <v>8</v>
      </c>
      <c r="F104" t="n">
        <v>0</v>
      </c>
      <c r="G104">
        <f>IFERROR(INDEX('01_STAFF'!$F:$F,MATCH(B104,'01_STAFF'!$A:$A,0))*E104,0)</f>
        <v/>
      </c>
    </row>
    <row r="105">
      <c r="A105" t="inlineStr">
        <is>
          <t>2025-10-31</t>
        </is>
      </c>
      <c r="B105" t="inlineStr">
        <is>
          <t>S04</t>
        </is>
      </c>
      <c r="C105" t="inlineStr">
        <is>
          <t>shared</t>
        </is>
      </c>
      <c r="D105" t="inlineStr">
        <is>
          <t>Weighing</t>
        </is>
      </c>
      <c r="E105" t="n">
        <v>5</v>
      </c>
      <c r="F105" t="n">
        <v>0</v>
      </c>
      <c r="G105">
        <f>IFERROR(INDEX('01_STAFF'!$F:$F,MATCH(B105,'01_STAFF'!$A:$A,0))*E105,0)</f>
        <v/>
      </c>
    </row>
    <row r="106">
      <c r="A106" t="inlineStr">
        <is>
          <t>2025-11-01</t>
        </is>
      </c>
      <c r="B106" t="inlineStr">
        <is>
          <t>S01</t>
        </is>
      </c>
      <c r="C106" t="inlineStr">
        <is>
          <t>piggery</t>
        </is>
      </c>
      <c r="D106" t="inlineStr">
        <is>
          <t>Cleaning</t>
        </is>
      </c>
      <c r="E106" t="n">
        <v>8</v>
      </c>
      <c r="F106" t="n">
        <v>0</v>
      </c>
      <c r="G106">
        <f>IFERROR(INDEX('01_STAFF'!$F:$F,MATCH(B106,'01_STAFF'!$A:$A,0))*E106,0)</f>
        <v/>
      </c>
    </row>
    <row r="107">
      <c r="A107" t="inlineStr">
        <is>
          <t>2025-11-01</t>
        </is>
      </c>
      <c r="B107" t="inlineStr">
        <is>
          <t>S02</t>
        </is>
      </c>
      <c r="C107" t="inlineStr">
        <is>
          <t>poultry</t>
        </is>
      </c>
      <c r="D107" t="inlineStr">
        <is>
          <t>Weighing</t>
        </is>
      </c>
      <c r="E107" t="n">
        <v>8</v>
      </c>
      <c r="F107" t="n">
        <v>0</v>
      </c>
      <c r="G107">
        <f>IFERROR(INDEX('01_STAFF'!$F:$F,MATCH(B107,'01_STAFF'!$A:$A,0))*E107,0)</f>
        <v/>
      </c>
    </row>
    <row r="108">
      <c r="A108" t="inlineStr">
        <is>
          <t>2025-11-01</t>
        </is>
      </c>
      <c r="B108" t="inlineStr">
        <is>
          <t>S03</t>
        </is>
      </c>
      <c r="C108" t="inlineStr">
        <is>
          <t>crops</t>
        </is>
      </c>
      <c r="D108" t="inlineStr">
        <is>
          <t>Weeding</t>
        </is>
      </c>
      <c r="E108" t="n">
        <v>8</v>
      </c>
      <c r="F108" t="n">
        <v>0</v>
      </c>
      <c r="G108">
        <f>IFERROR(INDEX('01_STAFF'!$F:$F,MATCH(B108,'01_STAFF'!$A:$A,0))*E108,0)</f>
        <v/>
      </c>
    </row>
    <row r="109">
      <c r="A109" t="inlineStr">
        <is>
          <t>2025-11-01</t>
        </is>
      </c>
      <c r="B109" t="inlineStr">
        <is>
          <t>S04</t>
        </is>
      </c>
      <c r="C109" t="inlineStr">
        <is>
          <t>shared</t>
        </is>
      </c>
      <c r="D109" t="inlineStr">
        <is>
          <t>Maintenance</t>
        </is>
      </c>
      <c r="E109" t="n">
        <v>6</v>
      </c>
      <c r="F109" t="n">
        <v>0</v>
      </c>
      <c r="G109">
        <f>IFERROR(INDEX('01_STAFF'!$F:$F,MATCH(B109,'01_STAFF'!$A:$A,0))*E109,0)</f>
        <v/>
      </c>
    </row>
    <row r="110">
      <c r="A110" t="inlineStr">
        <is>
          <t>2025-11-02</t>
        </is>
      </c>
      <c r="B110" t="inlineStr">
        <is>
          <t>S01</t>
        </is>
      </c>
      <c r="C110" t="inlineStr">
        <is>
          <t>piggery</t>
        </is>
      </c>
      <c r="D110" t="inlineStr">
        <is>
          <t>Cleaning</t>
        </is>
      </c>
      <c r="E110" t="n">
        <v>8</v>
      </c>
      <c r="F110" t="n">
        <v>0</v>
      </c>
      <c r="G110">
        <f>IFERROR(INDEX('01_STAFF'!$F:$F,MATCH(B110,'01_STAFF'!$A:$A,0))*E110,0)</f>
        <v/>
      </c>
    </row>
    <row r="111">
      <c r="A111" t="inlineStr">
        <is>
          <t>2025-11-02</t>
        </is>
      </c>
      <c r="B111" t="inlineStr">
        <is>
          <t>S02</t>
        </is>
      </c>
      <c r="C111" t="inlineStr">
        <is>
          <t>poultry</t>
        </is>
      </c>
      <c r="D111" t="inlineStr">
        <is>
          <t>Cleaning</t>
        </is>
      </c>
      <c r="E111" t="n">
        <v>8</v>
      </c>
      <c r="F111" t="n">
        <v>0</v>
      </c>
      <c r="G111">
        <f>IFERROR(INDEX('01_STAFF'!$F:$F,MATCH(B111,'01_STAFF'!$A:$A,0))*E111,0)</f>
        <v/>
      </c>
    </row>
    <row r="112">
      <c r="A112" t="inlineStr">
        <is>
          <t>2025-11-02</t>
        </is>
      </c>
      <c r="B112" t="inlineStr">
        <is>
          <t>S03</t>
        </is>
      </c>
      <c r="C112" t="inlineStr">
        <is>
          <t>crops</t>
        </is>
      </c>
      <c r="D112" t="inlineStr">
        <is>
          <t>Weeding</t>
        </is>
      </c>
      <c r="E112" t="n">
        <v>8</v>
      </c>
      <c r="F112" t="n">
        <v>0</v>
      </c>
      <c r="G112">
        <f>IFERROR(INDEX('01_STAFF'!$F:$F,MATCH(B112,'01_STAFF'!$A:$A,0))*E112,0)</f>
        <v/>
      </c>
    </row>
    <row r="113">
      <c r="A113" t="inlineStr">
        <is>
          <t>2025-11-02</t>
        </is>
      </c>
      <c r="B113" t="inlineStr">
        <is>
          <t>S04</t>
        </is>
      </c>
      <c r="C113" t="inlineStr">
        <is>
          <t>shared</t>
        </is>
      </c>
      <c r="D113" t="inlineStr">
        <is>
          <t>Maintenance</t>
        </is>
      </c>
      <c r="E113" t="n">
        <v>6</v>
      </c>
      <c r="F113" t="n">
        <v>0</v>
      </c>
      <c r="G113">
        <f>IFERROR(INDEX('01_STAFF'!$F:$F,MATCH(B113,'01_STAFF'!$A:$A,0))*E113,0)</f>
        <v/>
      </c>
    </row>
    <row r="114">
      <c r="A114" t="inlineStr">
        <is>
          <t>2025-11-03</t>
        </is>
      </c>
      <c r="B114" t="inlineStr">
        <is>
          <t>S01</t>
        </is>
      </c>
      <c r="C114" t="inlineStr">
        <is>
          <t>piggery</t>
        </is>
      </c>
      <c r="D114" t="inlineStr">
        <is>
          <t>Vaccination</t>
        </is>
      </c>
      <c r="E114" t="n">
        <v>8</v>
      </c>
      <c r="F114" t="n">
        <v>0</v>
      </c>
      <c r="G114">
        <f>IFERROR(INDEX('01_STAFF'!$F:$F,MATCH(B114,'01_STAFF'!$A:$A,0))*E114,0)</f>
        <v/>
      </c>
    </row>
    <row r="115">
      <c r="A115" t="inlineStr">
        <is>
          <t>2025-11-03</t>
        </is>
      </c>
      <c r="B115" t="inlineStr">
        <is>
          <t>S02</t>
        </is>
      </c>
      <c r="C115" t="inlineStr">
        <is>
          <t>poultry</t>
        </is>
      </c>
      <c r="D115" t="inlineStr">
        <is>
          <t>Cleaning</t>
        </is>
      </c>
      <c r="E115" t="n">
        <v>8</v>
      </c>
      <c r="F115" t="n">
        <v>0</v>
      </c>
      <c r="G115">
        <f>IFERROR(INDEX('01_STAFF'!$F:$F,MATCH(B115,'01_STAFF'!$A:$A,0))*E115,0)</f>
        <v/>
      </c>
    </row>
    <row r="116">
      <c r="A116" t="inlineStr">
        <is>
          <t>2025-11-03</t>
        </is>
      </c>
      <c r="B116" t="inlineStr">
        <is>
          <t>S04</t>
        </is>
      </c>
      <c r="C116" t="inlineStr">
        <is>
          <t>shared</t>
        </is>
      </c>
      <c r="D116" t="inlineStr">
        <is>
          <t>Maintenance</t>
        </is>
      </c>
      <c r="E116" t="n">
        <v>6</v>
      </c>
      <c r="F116" t="n">
        <v>0</v>
      </c>
      <c r="G116">
        <f>IFERROR(INDEX('01_STAFF'!$F:$F,MATCH(B116,'01_STAFF'!$A:$A,0))*E116,0)</f>
        <v/>
      </c>
    </row>
    <row r="117">
      <c r="A117" t="inlineStr">
        <is>
          <t>2025-11-04</t>
        </is>
      </c>
      <c r="B117" t="inlineStr">
        <is>
          <t>S01</t>
        </is>
      </c>
      <c r="C117" t="inlineStr">
        <is>
          <t>piggery</t>
        </is>
      </c>
      <c r="D117" t="inlineStr">
        <is>
          <t>Feeding</t>
        </is>
      </c>
      <c r="E117" t="n">
        <v>8</v>
      </c>
      <c r="F117" t="n">
        <v>0</v>
      </c>
      <c r="G117">
        <f>IFERROR(INDEX('01_STAFF'!$F:$F,MATCH(B117,'01_STAFF'!$A:$A,0))*E117,0)</f>
        <v/>
      </c>
    </row>
    <row r="118">
      <c r="A118" t="inlineStr">
        <is>
          <t>2025-11-04</t>
        </is>
      </c>
      <c r="B118" t="inlineStr">
        <is>
          <t>S02</t>
        </is>
      </c>
      <c r="C118" t="inlineStr">
        <is>
          <t>poultry</t>
        </is>
      </c>
      <c r="D118" t="inlineStr">
        <is>
          <t>Cleaning</t>
        </is>
      </c>
      <c r="E118" t="n">
        <v>8</v>
      </c>
      <c r="F118" t="n">
        <v>0</v>
      </c>
      <c r="G118">
        <f>IFERROR(INDEX('01_STAFF'!$F:$F,MATCH(B118,'01_STAFF'!$A:$A,0))*E118,0)</f>
        <v/>
      </c>
    </row>
    <row r="119">
      <c r="A119" t="inlineStr">
        <is>
          <t>2025-11-04</t>
        </is>
      </c>
      <c r="B119" t="inlineStr">
        <is>
          <t>S03</t>
        </is>
      </c>
      <c r="C119" t="inlineStr">
        <is>
          <t>crops</t>
        </is>
      </c>
      <c r="D119" t="inlineStr">
        <is>
          <t>Harvest</t>
        </is>
      </c>
      <c r="E119" t="n">
        <v>8</v>
      </c>
      <c r="F119" t="n">
        <v>0</v>
      </c>
      <c r="G119">
        <f>IFERROR(INDEX('01_STAFF'!$F:$F,MATCH(B119,'01_STAFF'!$A:$A,0))*E119,0)</f>
        <v/>
      </c>
    </row>
    <row r="120">
      <c r="A120" t="inlineStr">
        <is>
          <t>2025-11-04</t>
        </is>
      </c>
      <c r="B120" t="inlineStr">
        <is>
          <t>S04</t>
        </is>
      </c>
      <c r="C120" t="inlineStr">
        <is>
          <t>shared</t>
        </is>
      </c>
      <c r="D120" t="inlineStr">
        <is>
          <t>Maintenance</t>
        </is>
      </c>
      <c r="E120" t="n">
        <v>5</v>
      </c>
      <c r="F120" t="n">
        <v>0</v>
      </c>
      <c r="G120">
        <f>IFERROR(INDEX('01_STAFF'!$F:$F,MATCH(B120,'01_STAFF'!$A:$A,0))*E120,0)</f>
        <v/>
      </c>
    </row>
    <row r="121">
      <c r="A121" t="inlineStr">
        <is>
          <t>2025-11-05</t>
        </is>
      </c>
      <c r="B121" t="inlineStr">
        <is>
          <t>S01</t>
        </is>
      </c>
      <c r="C121" t="inlineStr">
        <is>
          <t>piggery</t>
        </is>
      </c>
      <c r="D121" t="inlineStr">
        <is>
          <t>Cleaning</t>
        </is>
      </c>
      <c r="E121" t="n">
        <v>8</v>
      </c>
      <c r="F121" t="n">
        <v>1</v>
      </c>
      <c r="G121">
        <f>IFERROR(INDEX('01_STAFF'!$F:$F,MATCH(B121,'01_STAFF'!$A:$A,0))*E121,0)</f>
        <v/>
      </c>
    </row>
    <row r="122">
      <c r="A122" t="inlineStr">
        <is>
          <t>2025-11-05</t>
        </is>
      </c>
      <c r="B122" t="inlineStr">
        <is>
          <t>S02</t>
        </is>
      </c>
      <c r="C122" t="inlineStr">
        <is>
          <t>poultry</t>
        </is>
      </c>
      <c r="D122" t="inlineStr">
        <is>
          <t>Weighing</t>
        </is>
      </c>
      <c r="E122" t="n">
        <v>8</v>
      </c>
      <c r="F122" t="n">
        <v>1</v>
      </c>
      <c r="G122">
        <f>IFERROR(INDEX('01_STAFF'!$F:$F,MATCH(B122,'01_STAFF'!$A:$A,0))*E122,0)</f>
        <v/>
      </c>
    </row>
    <row r="123">
      <c r="A123" t="inlineStr">
        <is>
          <t>2025-11-05</t>
        </is>
      </c>
      <c r="B123" t="inlineStr">
        <is>
          <t>S03</t>
        </is>
      </c>
      <c r="C123" t="inlineStr">
        <is>
          <t>crops</t>
        </is>
      </c>
      <c r="D123" t="inlineStr">
        <is>
          <t>Maintenance</t>
        </is>
      </c>
      <c r="E123" t="n">
        <v>8</v>
      </c>
      <c r="F123" t="n">
        <v>0</v>
      </c>
      <c r="G123">
        <f>IFERROR(INDEX('01_STAFF'!$F:$F,MATCH(B123,'01_STAFF'!$A:$A,0))*E123,0)</f>
        <v/>
      </c>
    </row>
    <row r="124">
      <c r="A124" t="inlineStr">
        <is>
          <t>2025-11-05</t>
        </is>
      </c>
      <c r="B124" t="inlineStr">
        <is>
          <t>S04</t>
        </is>
      </c>
      <c r="C124" t="inlineStr">
        <is>
          <t>shared</t>
        </is>
      </c>
      <c r="D124" t="inlineStr">
        <is>
          <t>Maintenance</t>
        </is>
      </c>
      <c r="E124" t="n">
        <v>5</v>
      </c>
      <c r="F124" t="n">
        <v>0</v>
      </c>
      <c r="G124">
        <f>IFERROR(INDEX('01_STAFF'!$F:$F,MATCH(B124,'01_STAFF'!$A:$A,0))*E124,0)</f>
        <v/>
      </c>
    </row>
    <row r="125">
      <c r="A125" t="inlineStr">
        <is>
          <t>2025-11-06</t>
        </is>
      </c>
      <c r="B125" t="inlineStr">
        <is>
          <t>S01</t>
        </is>
      </c>
      <c r="C125" t="inlineStr">
        <is>
          <t>piggery</t>
        </is>
      </c>
      <c r="D125" t="inlineStr">
        <is>
          <t>Weighing</t>
        </is>
      </c>
      <c r="E125" t="n">
        <v>8</v>
      </c>
      <c r="F125" t="n">
        <v>0</v>
      </c>
      <c r="G125">
        <f>IFERROR(INDEX('01_STAFF'!$F:$F,MATCH(B125,'01_STAFF'!$A:$A,0))*E125,0)</f>
        <v/>
      </c>
    </row>
    <row r="126">
      <c r="A126" t="inlineStr">
        <is>
          <t>2025-11-06</t>
        </is>
      </c>
      <c r="B126" t="inlineStr">
        <is>
          <t>S02</t>
        </is>
      </c>
      <c r="C126" t="inlineStr">
        <is>
          <t>poultry</t>
        </is>
      </c>
      <c r="D126" t="inlineStr">
        <is>
          <t>Cleaning</t>
        </is>
      </c>
      <c r="E126" t="n">
        <v>8</v>
      </c>
      <c r="F126" t="n">
        <v>0</v>
      </c>
      <c r="G126">
        <f>IFERROR(INDEX('01_STAFF'!$F:$F,MATCH(B126,'01_STAFF'!$A:$A,0))*E126,0)</f>
        <v/>
      </c>
    </row>
    <row r="127">
      <c r="A127" t="inlineStr">
        <is>
          <t>2025-11-06</t>
        </is>
      </c>
      <c r="B127" t="inlineStr">
        <is>
          <t>S03</t>
        </is>
      </c>
      <c r="C127" t="inlineStr">
        <is>
          <t>crops</t>
        </is>
      </c>
      <c r="D127" t="inlineStr">
        <is>
          <t>Spraying</t>
        </is>
      </c>
      <c r="E127" t="n">
        <v>8</v>
      </c>
      <c r="F127" t="n">
        <v>0</v>
      </c>
      <c r="G127">
        <f>IFERROR(INDEX('01_STAFF'!$F:$F,MATCH(B127,'01_STAFF'!$A:$A,0))*E127,0)</f>
        <v/>
      </c>
    </row>
    <row r="128">
      <c r="A128" t="inlineStr">
        <is>
          <t>2025-11-06</t>
        </is>
      </c>
      <c r="B128" t="inlineStr">
        <is>
          <t>S04</t>
        </is>
      </c>
      <c r="C128" t="inlineStr">
        <is>
          <t>shared</t>
        </is>
      </c>
      <c r="D128" t="inlineStr">
        <is>
          <t>Vaccination</t>
        </is>
      </c>
      <c r="E128" t="n">
        <v>6</v>
      </c>
      <c r="F128" t="n">
        <v>0</v>
      </c>
      <c r="G128">
        <f>IFERROR(INDEX('01_STAFF'!$F:$F,MATCH(B128,'01_STAFF'!$A:$A,0))*E128,0)</f>
        <v/>
      </c>
    </row>
    <row r="129">
      <c r="A129" t="inlineStr">
        <is>
          <t>2025-11-07</t>
        </is>
      </c>
      <c r="B129" t="inlineStr">
        <is>
          <t>S01</t>
        </is>
      </c>
      <c r="C129" t="inlineStr">
        <is>
          <t>piggery</t>
        </is>
      </c>
      <c r="D129" t="inlineStr">
        <is>
          <t>Vaccination</t>
        </is>
      </c>
      <c r="E129" t="n">
        <v>8</v>
      </c>
      <c r="F129" t="n">
        <v>0</v>
      </c>
      <c r="G129">
        <f>IFERROR(INDEX('01_STAFF'!$F:$F,MATCH(B129,'01_STAFF'!$A:$A,0))*E129,0)</f>
        <v/>
      </c>
    </row>
    <row r="130">
      <c r="A130" t="inlineStr">
        <is>
          <t>2025-11-07</t>
        </is>
      </c>
      <c r="B130" t="inlineStr">
        <is>
          <t>S03</t>
        </is>
      </c>
      <c r="C130" t="inlineStr">
        <is>
          <t>crops</t>
        </is>
      </c>
      <c r="D130" t="inlineStr">
        <is>
          <t>Land prep</t>
        </is>
      </c>
      <c r="E130" t="n">
        <v>8</v>
      </c>
      <c r="F130" t="n">
        <v>0</v>
      </c>
      <c r="G130">
        <f>IFERROR(INDEX('01_STAFF'!$F:$F,MATCH(B130,'01_STAFF'!$A:$A,0))*E130,0)</f>
        <v/>
      </c>
    </row>
    <row r="131">
      <c r="A131" t="inlineStr">
        <is>
          <t>2025-11-07</t>
        </is>
      </c>
      <c r="B131" t="inlineStr">
        <is>
          <t>S04</t>
        </is>
      </c>
      <c r="C131" t="inlineStr">
        <is>
          <t>shared</t>
        </is>
      </c>
      <c r="D131" t="inlineStr">
        <is>
          <t>Weighing</t>
        </is>
      </c>
      <c r="E131" t="n">
        <v>6</v>
      </c>
      <c r="F131" t="n">
        <v>0</v>
      </c>
      <c r="G131">
        <f>IFERROR(INDEX('01_STAFF'!$F:$F,MATCH(B131,'01_STAFF'!$A:$A,0))*E131,0)</f>
        <v/>
      </c>
    </row>
    <row r="132">
      <c r="A132" t="inlineStr">
        <is>
          <t>2025-11-08</t>
        </is>
      </c>
      <c r="B132" t="inlineStr">
        <is>
          <t>S01</t>
        </is>
      </c>
      <c r="C132" t="inlineStr">
        <is>
          <t>piggery</t>
        </is>
      </c>
      <c r="D132" t="inlineStr">
        <is>
          <t>Feeding</t>
        </is>
      </c>
      <c r="E132" t="n">
        <v>8</v>
      </c>
      <c r="F132" t="n">
        <v>0</v>
      </c>
      <c r="G132">
        <f>IFERROR(INDEX('01_STAFF'!$F:$F,MATCH(B132,'01_STAFF'!$A:$A,0))*E132,0)</f>
        <v/>
      </c>
    </row>
    <row r="133">
      <c r="A133" t="inlineStr">
        <is>
          <t>2025-11-08</t>
        </is>
      </c>
      <c r="B133" t="inlineStr">
        <is>
          <t>S02</t>
        </is>
      </c>
      <c r="C133" t="inlineStr">
        <is>
          <t>poultry</t>
        </is>
      </c>
      <c r="D133" t="inlineStr">
        <is>
          <t>Feeding</t>
        </is>
      </c>
      <c r="E133" t="n">
        <v>8</v>
      </c>
      <c r="F133" t="n">
        <v>0</v>
      </c>
      <c r="G133">
        <f>IFERROR(INDEX('01_STAFF'!$F:$F,MATCH(B133,'01_STAFF'!$A:$A,0))*E133,0)</f>
        <v/>
      </c>
    </row>
    <row r="134">
      <c r="A134" t="inlineStr">
        <is>
          <t>2025-11-08</t>
        </is>
      </c>
      <c r="B134" t="inlineStr">
        <is>
          <t>S03</t>
        </is>
      </c>
      <c r="C134" t="inlineStr">
        <is>
          <t>crops</t>
        </is>
      </c>
      <c r="D134" t="inlineStr">
        <is>
          <t>Spraying</t>
        </is>
      </c>
      <c r="E134" t="n">
        <v>8</v>
      </c>
      <c r="F134" t="n">
        <v>0</v>
      </c>
      <c r="G134">
        <f>IFERROR(INDEX('01_STAFF'!$F:$F,MATCH(B134,'01_STAFF'!$A:$A,0))*E134,0)</f>
        <v/>
      </c>
    </row>
    <row r="135">
      <c r="A135" t="inlineStr">
        <is>
          <t>2025-11-08</t>
        </is>
      </c>
      <c r="B135" t="inlineStr">
        <is>
          <t>S04</t>
        </is>
      </c>
      <c r="C135" t="inlineStr">
        <is>
          <t>shared</t>
        </is>
      </c>
      <c r="D135" t="inlineStr">
        <is>
          <t>Vaccination</t>
        </is>
      </c>
      <c r="E135" t="n">
        <v>6</v>
      </c>
      <c r="F135" t="n">
        <v>0</v>
      </c>
      <c r="G135">
        <f>IFERROR(INDEX('01_STAFF'!$F:$F,MATCH(B135,'01_STAFF'!$A:$A,0))*E135,0)</f>
        <v/>
      </c>
    </row>
    <row r="136">
      <c r="A136" t="inlineStr">
        <is>
          <t>2025-11-10</t>
        </is>
      </c>
      <c r="B136" t="inlineStr">
        <is>
          <t>S01</t>
        </is>
      </c>
      <c r="C136" t="inlineStr">
        <is>
          <t>piggery</t>
        </is>
      </c>
      <c r="D136" t="inlineStr">
        <is>
          <t>Vaccination</t>
        </is>
      </c>
      <c r="E136" t="n">
        <v>8</v>
      </c>
      <c r="F136" t="n">
        <v>0</v>
      </c>
      <c r="G136">
        <f>IFERROR(INDEX('01_STAFF'!$F:$F,MATCH(B136,'01_STAFF'!$A:$A,0))*E136,0)</f>
        <v/>
      </c>
    </row>
    <row r="137">
      <c r="A137" t="inlineStr">
        <is>
          <t>2025-11-10</t>
        </is>
      </c>
      <c r="B137" t="inlineStr">
        <is>
          <t>S02</t>
        </is>
      </c>
      <c r="C137" t="inlineStr">
        <is>
          <t>poultry</t>
        </is>
      </c>
      <c r="D137" t="inlineStr">
        <is>
          <t>Vaccination</t>
        </is>
      </c>
      <c r="E137" t="n">
        <v>8</v>
      </c>
      <c r="F137" t="n">
        <v>0</v>
      </c>
      <c r="G137">
        <f>IFERROR(INDEX('01_STAFF'!$F:$F,MATCH(B137,'01_STAFF'!$A:$A,0))*E137,0)</f>
        <v/>
      </c>
    </row>
    <row r="138">
      <c r="A138" t="inlineStr">
        <is>
          <t>2025-11-10</t>
        </is>
      </c>
      <c r="B138" t="inlineStr">
        <is>
          <t>S03</t>
        </is>
      </c>
      <c r="C138" t="inlineStr">
        <is>
          <t>crops</t>
        </is>
      </c>
      <c r="D138" t="inlineStr">
        <is>
          <t>Weeding</t>
        </is>
      </c>
      <c r="E138" t="n">
        <v>8</v>
      </c>
      <c r="F138" t="n">
        <v>0</v>
      </c>
      <c r="G138">
        <f>IFERROR(INDEX('01_STAFF'!$F:$F,MATCH(B138,'01_STAFF'!$A:$A,0))*E138,0)</f>
        <v/>
      </c>
    </row>
    <row r="139">
      <c r="A139" t="inlineStr">
        <is>
          <t>2025-11-10</t>
        </is>
      </c>
      <c r="B139" t="inlineStr">
        <is>
          <t>S04</t>
        </is>
      </c>
      <c r="C139" t="inlineStr">
        <is>
          <t>shared</t>
        </is>
      </c>
      <c r="D139" t="inlineStr">
        <is>
          <t>Maintenance</t>
        </is>
      </c>
      <c r="E139" t="n">
        <v>5</v>
      </c>
      <c r="F139" t="n">
        <v>0</v>
      </c>
      <c r="G139">
        <f>IFERROR(INDEX('01_STAFF'!$F:$F,MATCH(B139,'01_STAFF'!$A:$A,0))*E139,0)</f>
        <v/>
      </c>
    </row>
    <row r="140">
      <c r="A140" t="inlineStr">
        <is>
          <t>2025-11-11</t>
        </is>
      </c>
      <c r="B140" t="inlineStr">
        <is>
          <t>S01</t>
        </is>
      </c>
      <c r="C140" t="inlineStr">
        <is>
          <t>piggery</t>
        </is>
      </c>
      <c r="D140" t="inlineStr">
        <is>
          <t>Cleaning</t>
        </is>
      </c>
      <c r="E140" t="n">
        <v>8</v>
      </c>
      <c r="F140" t="n">
        <v>0</v>
      </c>
      <c r="G140">
        <f>IFERROR(INDEX('01_STAFF'!$F:$F,MATCH(B140,'01_STAFF'!$A:$A,0))*E140,0)</f>
        <v/>
      </c>
    </row>
    <row r="141">
      <c r="A141" t="inlineStr">
        <is>
          <t>2025-11-11</t>
        </is>
      </c>
      <c r="B141" t="inlineStr">
        <is>
          <t>S02</t>
        </is>
      </c>
      <c r="C141" t="inlineStr">
        <is>
          <t>poultry</t>
        </is>
      </c>
      <c r="D141" t="inlineStr">
        <is>
          <t>Vaccination</t>
        </is>
      </c>
      <c r="E141" t="n">
        <v>8</v>
      </c>
      <c r="F141" t="n">
        <v>1</v>
      </c>
      <c r="G141">
        <f>IFERROR(INDEX('01_STAFF'!$F:$F,MATCH(B141,'01_STAFF'!$A:$A,0))*E141,0)</f>
        <v/>
      </c>
    </row>
    <row r="142">
      <c r="A142" t="inlineStr">
        <is>
          <t>2025-11-11</t>
        </is>
      </c>
      <c r="B142" t="inlineStr">
        <is>
          <t>S03</t>
        </is>
      </c>
      <c r="C142" t="inlineStr">
        <is>
          <t>crops</t>
        </is>
      </c>
      <c r="D142" t="inlineStr">
        <is>
          <t>Weeding</t>
        </is>
      </c>
      <c r="E142" t="n">
        <v>8</v>
      </c>
      <c r="F142" t="n">
        <v>1</v>
      </c>
      <c r="G142">
        <f>IFERROR(INDEX('01_STAFF'!$F:$F,MATCH(B142,'01_STAFF'!$A:$A,0))*E142,0)</f>
        <v/>
      </c>
    </row>
    <row r="143">
      <c r="A143" t="inlineStr">
        <is>
          <t>2025-11-11</t>
        </is>
      </c>
      <c r="B143" t="inlineStr">
        <is>
          <t>S04</t>
        </is>
      </c>
      <c r="C143" t="inlineStr">
        <is>
          <t>shared</t>
        </is>
      </c>
      <c r="D143" t="inlineStr">
        <is>
          <t>Vaccination</t>
        </is>
      </c>
      <c r="E143" t="n">
        <v>5</v>
      </c>
      <c r="F143" t="n">
        <v>1</v>
      </c>
      <c r="G143">
        <f>IFERROR(INDEX('01_STAFF'!$F:$F,MATCH(B143,'01_STAFF'!$A:$A,0))*E143,0)</f>
        <v/>
      </c>
    </row>
    <row r="144">
      <c r="A144" t="inlineStr">
        <is>
          <t>2025-11-12</t>
        </is>
      </c>
      <c r="B144" t="inlineStr">
        <is>
          <t>S01</t>
        </is>
      </c>
      <c r="C144" t="inlineStr">
        <is>
          <t>piggery</t>
        </is>
      </c>
      <c r="D144" t="inlineStr">
        <is>
          <t>Weighing</t>
        </is>
      </c>
      <c r="E144" t="n">
        <v>8</v>
      </c>
      <c r="F144" t="n">
        <v>0</v>
      </c>
      <c r="G144">
        <f>IFERROR(INDEX('01_STAFF'!$F:$F,MATCH(B144,'01_STAFF'!$A:$A,0))*E144,0)</f>
        <v/>
      </c>
    </row>
    <row r="145">
      <c r="A145" t="inlineStr">
        <is>
          <t>2025-11-12</t>
        </is>
      </c>
      <c r="B145" t="inlineStr">
        <is>
          <t>S02</t>
        </is>
      </c>
      <c r="C145" t="inlineStr">
        <is>
          <t>poultry</t>
        </is>
      </c>
      <c r="D145" t="inlineStr">
        <is>
          <t>Weighing</t>
        </is>
      </c>
      <c r="E145" t="n">
        <v>8</v>
      </c>
      <c r="F145" t="n">
        <v>0</v>
      </c>
      <c r="G145">
        <f>IFERROR(INDEX('01_STAFF'!$F:$F,MATCH(B145,'01_STAFF'!$A:$A,0))*E145,0)</f>
        <v/>
      </c>
    </row>
    <row r="146">
      <c r="A146" t="inlineStr">
        <is>
          <t>2025-11-12</t>
        </is>
      </c>
      <c r="B146" t="inlineStr">
        <is>
          <t>S03</t>
        </is>
      </c>
      <c r="C146" t="inlineStr">
        <is>
          <t>crops</t>
        </is>
      </c>
      <c r="D146" t="inlineStr">
        <is>
          <t>Maintenance</t>
        </is>
      </c>
      <c r="E146" t="n">
        <v>8</v>
      </c>
      <c r="F146" t="n">
        <v>0</v>
      </c>
      <c r="G146">
        <f>IFERROR(INDEX('01_STAFF'!$F:$F,MATCH(B146,'01_STAFF'!$A:$A,0))*E146,0)</f>
        <v/>
      </c>
    </row>
    <row r="147">
      <c r="A147" t="inlineStr">
        <is>
          <t>2025-11-12</t>
        </is>
      </c>
      <c r="B147" t="inlineStr">
        <is>
          <t>S04</t>
        </is>
      </c>
      <c r="C147" t="inlineStr">
        <is>
          <t>shared</t>
        </is>
      </c>
      <c r="D147" t="inlineStr">
        <is>
          <t>Marketing</t>
        </is>
      </c>
      <c r="E147" t="n">
        <v>6</v>
      </c>
      <c r="F147" t="n">
        <v>0</v>
      </c>
      <c r="G147">
        <f>IFERROR(INDEX('01_STAFF'!$F:$F,MATCH(B147,'01_STAFF'!$A:$A,0))*E147,0)</f>
        <v/>
      </c>
    </row>
    <row r="148">
      <c r="A148" t="inlineStr">
        <is>
          <t>2025-11-13</t>
        </is>
      </c>
      <c r="B148" t="inlineStr">
        <is>
          <t>S01</t>
        </is>
      </c>
      <c r="C148" t="inlineStr">
        <is>
          <t>piggery</t>
        </is>
      </c>
      <c r="D148" t="inlineStr">
        <is>
          <t>Vaccination</t>
        </is>
      </c>
      <c r="E148" t="n">
        <v>8</v>
      </c>
      <c r="F148" t="n">
        <v>0</v>
      </c>
      <c r="G148">
        <f>IFERROR(INDEX('01_STAFF'!$F:$F,MATCH(B148,'01_STAFF'!$A:$A,0))*E148,0)</f>
        <v/>
      </c>
    </row>
    <row r="149">
      <c r="A149" t="inlineStr">
        <is>
          <t>2025-11-13</t>
        </is>
      </c>
      <c r="B149" t="inlineStr">
        <is>
          <t>S02</t>
        </is>
      </c>
      <c r="C149" t="inlineStr">
        <is>
          <t>poultry</t>
        </is>
      </c>
      <c r="D149" t="inlineStr">
        <is>
          <t>Vaccination</t>
        </is>
      </c>
      <c r="E149" t="n">
        <v>8</v>
      </c>
      <c r="F149" t="n">
        <v>0</v>
      </c>
      <c r="G149">
        <f>IFERROR(INDEX('01_STAFF'!$F:$F,MATCH(B149,'01_STAFF'!$A:$A,0))*E149,0)</f>
        <v/>
      </c>
    </row>
    <row r="150">
      <c r="A150" t="inlineStr">
        <is>
          <t>2025-11-13</t>
        </is>
      </c>
      <c r="B150" t="inlineStr">
        <is>
          <t>S03</t>
        </is>
      </c>
      <c r="C150" t="inlineStr">
        <is>
          <t>crops</t>
        </is>
      </c>
      <c r="D150" t="inlineStr">
        <is>
          <t>Maintenance</t>
        </is>
      </c>
      <c r="E150" t="n">
        <v>8</v>
      </c>
      <c r="F150" t="n">
        <v>0</v>
      </c>
      <c r="G150">
        <f>IFERROR(INDEX('01_STAFF'!$F:$F,MATCH(B150,'01_STAFF'!$A:$A,0))*E150,0)</f>
        <v/>
      </c>
    </row>
    <row r="151">
      <c r="A151" t="inlineStr">
        <is>
          <t>2025-11-13</t>
        </is>
      </c>
      <c r="B151" t="inlineStr">
        <is>
          <t>S04</t>
        </is>
      </c>
      <c r="C151" t="inlineStr">
        <is>
          <t>shared</t>
        </is>
      </c>
      <c r="D151" t="inlineStr">
        <is>
          <t>Weighing</t>
        </is>
      </c>
      <c r="E151" t="n">
        <v>7</v>
      </c>
      <c r="F151" t="n">
        <v>1</v>
      </c>
      <c r="G151">
        <f>IFERROR(INDEX('01_STAFF'!$F:$F,MATCH(B151,'01_STAFF'!$A:$A,0))*E151,0)</f>
        <v/>
      </c>
    </row>
    <row r="152">
      <c r="A152" t="inlineStr">
        <is>
          <t>2025-11-14</t>
        </is>
      </c>
      <c r="B152" t="inlineStr">
        <is>
          <t>S01</t>
        </is>
      </c>
      <c r="C152" t="inlineStr">
        <is>
          <t>piggery</t>
        </is>
      </c>
      <c r="D152" t="inlineStr">
        <is>
          <t>Weighing</t>
        </is>
      </c>
      <c r="E152" t="n">
        <v>8</v>
      </c>
      <c r="F152" t="n">
        <v>0</v>
      </c>
      <c r="G152">
        <f>IFERROR(INDEX('01_STAFF'!$F:$F,MATCH(B152,'01_STAFF'!$A:$A,0))*E152,0)</f>
        <v/>
      </c>
    </row>
    <row r="153">
      <c r="A153" t="inlineStr">
        <is>
          <t>2025-11-14</t>
        </is>
      </c>
      <c r="B153" t="inlineStr">
        <is>
          <t>S03</t>
        </is>
      </c>
      <c r="C153" t="inlineStr">
        <is>
          <t>crops</t>
        </is>
      </c>
      <c r="D153" t="inlineStr">
        <is>
          <t>Spraying</t>
        </is>
      </c>
      <c r="E153" t="n">
        <v>8</v>
      </c>
      <c r="F153" t="n">
        <v>0</v>
      </c>
      <c r="G153">
        <f>IFERROR(INDEX('01_STAFF'!$F:$F,MATCH(B153,'01_STAFF'!$A:$A,0))*E153,0)</f>
        <v/>
      </c>
    </row>
    <row r="154">
      <c r="A154" t="inlineStr">
        <is>
          <t>2025-11-14</t>
        </is>
      </c>
      <c r="B154" t="inlineStr">
        <is>
          <t>S04</t>
        </is>
      </c>
      <c r="C154" t="inlineStr">
        <is>
          <t>shared</t>
        </is>
      </c>
      <c r="D154" t="inlineStr">
        <is>
          <t>Vaccination</t>
        </is>
      </c>
      <c r="E154" t="n">
        <v>5</v>
      </c>
      <c r="F154" t="n">
        <v>0</v>
      </c>
      <c r="G154">
        <f>IFERROR(INDEX('01_STAFF'!$F:$F,MATCH(B154,'01_STAFF'!$A:$A,0))*E154,0)</f>
        <v/>
      </c>
    </row>
    <row r="155">
      <c r="A155" t="inlineStr">
        <is>
          <t>2025-11-15</t>
        </is>
      </c>
      <c r="B155" t="inlineStr">
        <is>
          <t>S01</t>
        </is>
      </c>
      <c r="C155" t="inlineStr">
        <is>
          <t>piggery</t>
        </is>
      </c>
      <c r="D155" t="inlineStr">
        <is>
          <t>Weighing</t>
        </is>
      </c>
      <c r="E155" t="n">
        <v>8</v>
      </c>
      <c r="F155" t="n">
        <v>0</v>
      </c>
      <c r="G155">
        <f>IFERROR(INDEX('01_STAFF'!$F:$F,MATCH(B155,'01_STAFF'!$A:$A,0))*E155,0)</f>
        <v/>
      </c>
    </row>
    <row r="156">
      <c r="A156" t="inlineStr">
        <is>
          <t>2025-11-15</t>
        </is>
      </c>
      <c r="B156" t="inlineStr">
        <is>
          <t>S02</t>
        </is>
      </c>
      <c r="C156" t="inlineStr">
        <is>
          <t>poultry</t>
        </is>
      </c>
      <c r="D156" t="inlineStr">
        <is>
          <t>Cleaning</t>
        </is>
      </c>
      <c r="E156" t="n">
        <v>8</v>
      </c>
      <c r="F156" t="n">
        <v>0</v>
      </c>
      <c r="G156">
        <f>IFERROR(INDEX('01_STAFF'!$F:$F,MATCH(B156,'01_STAFF'!$A:$A,0))*E156,0)</f>
        <v/>
      </c>
    </row>
    <row r="157">
      <c r="A157" t="inlineStr">
        <is>
          <t>2025-11-15</t>
        </is>
      </c>
      <c r="B157" t="inlineStr">
        <is>
          <t>S03</t>
        </is>
      </c>
      <c r="C157" t="inlineStr">
        <is>
          <t>crops</t>
        </is>
      </c>
      <c r="D157" t="inlineStr">
        <is>
          <t>Maintenance</t>
        </is>
      </c>
      <c r="E157" t="n">
        <v>8</v>
      </c>
      <c r="F157" t="n">
        <v>0</v>
      </c>
      <c r="G157">
        <f>IFERROR(INDEX('01_STAFF'!$F:$F,MATCH(B157,'01_STAFF'!$A:$A,0))*E157,0)</f>
        <v/>
      </c>
    </row>
    <row r="158">
      <c r="A158" t="inlineStr">
        <is>
          <t>2025-11-15</t>
        </is>
      </c>
      <c r="B158" t="inlineStr">
        <is>
          <t>S04</t>
        </is>
      </c>
      <c r="C158" t="inlineStr">
        <is>
          <t>shared</t>
        </is>
      </c>
      <c r="D158" t="inlineStr">
        <is>
          <t>Vaccination</t>
        </is>
      </c>
      <c r="E158" t="n">
        <v>6</v>
      </c>
      <c r="F158" t="n">
        <v>0</v>
      </c>
      <c r="G158">
        <f>IFERROR(INDEX('01_STAFF'!$F:$F,MATCH(B158,'01_STAFF'!$A:$A,0))*E158,0)</f>
        <v/>
      </c>
    </row>
    <row r="159">
      <c r="A159" t="inlineStr">
        <is>
          <t>2025-11-16</t>
        </is>
      </c>
      <c r="B159" t="inlineStr">
        <is>
          <t>S01</t>
        </is>
      </c>
      <c r="C159" t="inlineStr">
        <is>
          <t>piggery</t>
        </is>
      </c>
      <c r="D159" t="inlineStr">
        <is>
          <t>Vaccination</t>
        </is>
      </c>
      <c r="E159" t="n">
        <v>8</v>
      </c>
      <c r="F159" t="n">
        <v>0</v>
      </c>
      <c r="G159">
        <f>IFERROR(INDEX('01_STAFF'!$F:$F,MATCH(B159,'01_STAFF'!$A:$A,0))*E159,0)</f>
        <v/>
      </c>
    </row>
    <row r="160">
      <c r="A160" t="inlineStr">
        <is>
          <t>2025-11-16</t>
        </is>
      </c>
      <c r="B160" t="inlineStr">
        <is>
          <t>S02</t>
        </is>
      </c>
      <c r="C160" t="inlineStr">
        <is>
          <t>poultry</t>
        </is>
      </c>
      <c r="D160" t="inlineStr">
        <is>
          <t>Weighing</t>
        </is>
      </c>
      <c r="E160" t="n">
        <v>8</v>
      </c>
      <c r="F160" t="n">
        <v>0</v>
      </c>
      <c r="G160">
        <f>IFERROR(INDEX('01_STAFF'!$F:$F,MATCH(B160,'01_STAFF'!$A:$A,0))*E160,0)</f>
        <v/>
      </c>
    </row>
    <row r="161">
      <c r="A161" t="inlineStr">
        <is>
          <t>2025-11-16</t>
        </is>
      </c>
      <c r="B161" t="inlineStr">
        <is>
          <t>S03</t>
        </is>
      </c>
      <c r="C161" t="inlineStr">
        <is>
          <t>crops</t>
        </is>
      </c>
      <c r="D161" t="inlineStr">
        <is>
          <t>Land prep</t>
        </is>
      </c>
      <c r="E161" t="n">
        <v>8</v>
      </c>
      <c r="F161" t="n">
        <v>0</v>
      </c>
      <c r="G161">
        <f>IFERROR(INDEX('01_STAFF'!$F:$F,MATCH(B161,'01_STAFF'!$A:$A,0))*E161,0)</f>
        <v/>
      </c>
    </row>
    <row r="162">
      <c r="A162" t="inlineStr">
        <is>
          <t>2025-11-17</t>
        </is>
      </c>
      <c r="B162" t="inlineStr">
        <is>
          <t>S01</t>
        </is>
      </c>
      <c r="C162" t="inlineStr">
        <is>
          <t>piggery</t>
        </is>
      </c>
      <c r="D162" t="inlineStr">
        <is>
          <t>Feeding</t>
        </is>
      </c>
      <c r="E162" t="n">
        <v>8</v>
      </c>
      <c r="F162" t="n">
        <v>0</v>
      </c>
      <c r="G162">
        <f>IFERROR(INDEX('01_STAFF'!$F:$F,MATCH(B162,'01_STAFF'!$A:$A,0))*E162,0)</f>
        <v/>
      </c>
    </row>
    <row r="163">
      <c r="A163" t="inlineStr">
        <is>
          <t>2025-11-17</t>
        </is>
      </c>
      <c r="B163" t="inlineStr">
        <is>
          <t>S03</t>
        </is>
      </c>
      <c r="C163" t="inlineStr">
        <is>
          <t>crops</t>
        </is>
      </c>
      <c r="D163" t="inlineStr">
        <is>
          <t>Maintenance</t>
        </is>
      </c>
      <c r="E163" t="n">
        <v>8</v>
      </c>
      <c r="F163" t="n">
        <v>0</v>
      </c>
      <c r="G163">
        <f>IFERROR(INDEX('01_STAFF'!$F:$F,MATCH(B163,'01_STAFF'!$A:$A,0))*E163,0)</f>
        <v/>
      </c>
    </row>
    <row r="164">
      <c r="A164" t="inlineStr">
        <is>
          <t>2025-11-17</t>
        </is>
      </c>
      <c r="B164" t="inlineStr">
        <is>
          <t>S04</t>
        </is>
      </c>
      <c r="C164" t="inlineStr">
        <is>
          <t>shared</t>
        </is>
      </c>
      <c r="D164" t="inlineStr">
        <is>
          <t>Weighing</t>
        </is>
      </c>
      <c r="E164" t="n">
        <v>7</v>
      </c>
      <c r="F164" t="n">
        <v>0</v>
      </c>
      <c r="G164">
        <f>IFERROR(INDEX('01_STAFF'!$F:$F,MATCH(B164,'01_STAFF'!$A:$A,0))*E164,0)</f>
        <v/>
      </c>
    </row>
    <row r="165">
      <c r="A165" t="inlineStr">
        <is>
          <t>2025-11-18</t>
        </is>
      </c>
      <c r="B165" t="inlineStr">
        <is>
          <t>S01</t>
        </is>
      </c>
      <c r="C165" t="inlineStr">
        <is>
          <t>piggery</t>
        </is>
      </c>
      <c r="D165" t="inlineStr">
        <is>
          <t>Cleaning</t>
        </is>
      </c>
      <c r="E165" t="n">
        <v>8</v>
      </c>
      <c r="F165" t="n">
        <v>0</v>
      </c>
      <c r="G165">
        <f>IFERROR(INDEX('01_STAFF'!$F:$F,MATCH(B165,'01_STAFF'!$A:$A,0))*E165,0)</f>
        <v/>
      </c>
    </row>
    <row r="166">
      <c r="A166" t="inlineStr">
        <is>
          <t>2025-11-18</t>
        </is>
      </c>
      <c r="B166" t="inlineStr">
        <is>
          <t>S02</t>
        </is>
      </c>
      <c r="C166" t="inlineStr">
        <is>
          <t>poultry</t>
        </is>
      </c>
      <c r="D166" t="inlineStr">
        <is>
          <t>Cleaning</t>
        </is>
      </c>
      <c r="E166" t="n">
        <v>8</v>
      </c>
      <c r="F166" t="n">
        <v>0</v>
      </c>
      <c r="G166">
        <f>IFERROR(INDEX('01_STAFF'!$F:$F,MATCH(B166,'01_STAFF'!$A:$A,0))*E166,0)</f>
        <v/>
      </c>
    </row>
    <row r="167">
      <c r="A167" t="inlineStr">
        <is>
          <t>2025-11-18</t>
        </is>
      </c>
      <c r="B167" t="inlineStr">
        <is>
          <t>S04</t>
        </is>
      </c>
      <c r="C167" t="inlineStr">
        <is>
          <t>shared</t>
        </is>
      </c>
      <c r="D167" t="inlineStr">
        <is>
          <t>Maintenance</t>
        </is>
      </c>
      <c r="E167" t="n">
        <v>5</v>
      </c>
      <c r="F167" t="n">
        <v>0</v>
      </c>
      <c r="G167">
        <f>IFERROR(INDEX('01_STAFF'!$F:$F,MATCH(B167,'01_STAFF'!$A:$A,0))*E167,0)</f>
        <v/>
      </c>
    </row>
    <row r="168">
      <c r="A168" t="inlineStr">
        <is>
          <t>2025-11-19</t>
        </is>
      </c>
      <c r="B168" t="inlineStr">
        <is>
          <t>S01</t>
        </is>
      </c>
      <c r="C168" t="inlineStr">
        <is>
          <t>piggery</t>
        </is>
      </c>
      <c r="D168" t="inlineStr">
        <is>
          <t>Feeding</t>
        </is>
      </c>
      <c r="E168" t="n">
        <v>8</v>
      </c>
      <c r="F168" t="n">
        <v>0</v>
      </c>
      <c r="G168">
        <f>IFERROR(INDEX('01_STAFF'!$F:$F,MATCH(B168,'01_STAFF'!$A:$A,0))*E168,0)</f>
        <v/>
      </c>
    </row>
    <row r="169">
      <c r="A169" t="inlineStr">
        <is>
          <t>2025-11-19</t>
        </is>
      </c>
      <c r="B169" t="inlineStr">
        <is>
          <t>S02</t>
        </is>
      </c>
      <c r="C169" t="inlineStr">
        <is>
          <t>poultry</t>
        </is>
      </c>
      <c r="D169" t="inlineStr">
        <is>
          <t>Feeding</t>
        </is>
      </c>
      <c r="E169" t="n">
        <v>8</v>
      </c>
      <c r="F169" t="n">
        <v>0</v>
      </c>
      <c r="G169">
        <f>IFERROR(INDEX('01_STAFF'!$F:$F,MATCH(B169,'01_STAFF'!$A:$A,0))*E169,0)</f>
        <v/>
      </c>
    </row>
    <row r="170">
      <c r="A170" t="inlineStr">
        <is>
          <t>2025-11-19</t>
        </is>
      </c>
      <c r="B170" t="inlineStr">
        <is>
          <t>S03</t>
        </is>
      </c>
      <c r="C170" t="inlineStr">
        <is>
          <t>crops</t>
        </is>
      </c>
      <c r="D170" t="inlineStr">
        <is>
          <t>Spraying</t>
        </is>
      </c>
      <c r="E170" t="n">
        <v>8</v>
      </c>
      <c r="F170" t="n">
        <v>1</v>
      </c>
      <c r="G170">
        <f>IFERROR(INDEX('01_STAFF'!$F:$F,MATCH(B170,'01_STAFF'!$A:$A,0))*E170,0)</f>
        <v/>
      </c>
    </row>
    <row r="171">
      <c r="A171" t="inlineStr">
        <is>
          <t>2025-11-19</t>
        </is>
      </c>
      <c r="B171" t="inlineStr">
        <is>
          <t>S04</t>
        </is>
      </c>
      <c r="C171" t="inlineStr">
        <is>
          <t>shared</t>
        </is>
      </c>
      <c r="D171" t="inlineStr">
        <is>
          <t>Marketing</t>
        </is>
      </c>
      <c r="E171" t="n">
        <v>6</v>
      </c>
      <c r="F171" t="n">
        <v>0</v>
      </c>
      <c r="G171">
        <f>IFERROR(INDEX('01_STAFF'!$F:$F,MATCH(B171,'01_STAFF'!$A:$A,0))*E171,0)</f>
        <v/>
      </c>
    </row>
    <row r="172">
      <c r="A172" t="inlineStr">
        <is>
          <t>2025-11-20</t>
        </is>
      </c>
      <c r="B172" t="inlineStr">
        <is>
          <t>S01</t>
        </is>
      </c>
      <c r="C172" t="inlineStr">
        <is>
          <t>piggery</t>
        </is>
      </c>
      <c r="D172" t="inlineStr">
        <is>
          <t>Weighing</t>
        </is>
      </c>
      <c r="E172" t="n">
        <v>8</v>
      </c>
      <c r="F172" t="n">
        <v>0</v>
      </c>
      <c r="G172">
        <f>IFERROR(INDEX('01_STAFF'!$F:$F,MATCH(B172,'01_STAFF'!$A:$A,0))*E172,0)</f>
        <v/>
      </c>
    </row>
    <row r="173">
      <c r="A173" t="inlineStr">
        <is>
          <t>2025-11-20</t>
        </is>
      </c>
      <c r="B173" t="inlineStr">
        <is>
          <t>S02</t>
        </is>
      </c>
      <c r="C173" t="inlineStr">
        <is>
          <t>poultry</t>
        </is>
      </c>
      <c r="D173" t="inlineStr">
        <is>
          <t>Weighing</t>
        </is>
      </c>
      <c r="E173" t="n">
        <v>8</v>
      </c>
      <c r="F173" t="n">
        <v>0</v>
      </c>
      <c r="G173">
        <f>IFERROR(INDEX('01_STAFF'!$F:$F,MATCH(B173,'01_STAFF'!$A:$A,0))*E173,0)</f>
        <v/>
      </c>
    </row>
    <row r="174">
      <c r="A174" t="inlineStr">
        <is>
          <t>2025-11-20</t>
        </is>
      </c>
      <c r="B174" t="inlineStr">
        <is>
          <t>S03</t>
        </is>
      </c>
      <c r="C174" t="inlineStr">
        <is>
          <t>crops</t>
        </is>
      </c>
      <c r="D174" t="inlineStr">
        <is>
          <t>Land prep</t>
        </is>
      </c>
      <c r="E174" t="n">
        <v>8</v>
      </c>
      <c r="F174" t="n">
        <v>0</v>
      </c>
      <c r="G174">
        <f>IFERROR(INDEX('01_STAFF'!$F:$F,MATCH(B174,'01_STAFF'!$A:$A,0))*E174,0)</f>
        <v/>
      </c>
    </row>
    <row r="175">
      <c r="A175" t="inlineStr">
        <is>
          <t>2025-11-20</t>
        </is>
      </c>
      <c r="B175" t="inlineStr">
        <is>
          <t>S04</t>
        </is>
      </c>
      <c r="C175" t="inlineStr">
        <is>
          <t>shared</t>
        </is>
      </c>
      <c r="D175" t="inlineStr">
        <is>
          <t>Maintenance</t>
        </is>
      </c>
      <c r="E175" t="n">
        <v>5</v>
      </c>
      <c r="F175" t="n">
        <v>0</v>
      </c>
      <c r="G175">
        <f>IFERROR(INDEX('01_STAFF'!$F:$F,MATCH(B175,'01_STAFF'!$A:$A,0))*E175,0)</f>
        <v/>
      </c>
    </row>
    <row r="176">
      <c r="A176" t="inlineStr">
        <is>
          <t>2025-11-21</t>
        </is>
      </c>
      <c r="B176" t="inlineStr">
        <is>
          <t>S01</t>
        </is>
      </c>
      <c r="C176" t="inlineStr">
        <is>
          <t>piggery</t>
        </is>
      </c>
      <c r="D176" t="inlineStr">
        <is>
          <t>Cleaning</t>
        </is>
      </c>
      <c r="E176" t="n">
        <v>8</v>
      </c>
      <c r="F176" t="n">
        <v>0</v>
      </c>
      <c r="G176">
        <f>IFERROR(INDEX('01_STAFF'!$F:$F,MATCH(B176,'01_STAFF'!$A:$A,0))*E176,0)</f>
        <v/>
      </c>
    </row>
    <row r="177">
      <c r="A177" t="inlineStr">
        <is>
          <t>2025-11-21</t>
        </is>
      </c>
      <c r="B177" t="inlineStr">
        <is>
          <t>S02</t>
        </is>
      </c>
      <c r="C177" t="inlineStr">
        <is>
          <t>poultry</t>
        </is>
      </c>
      <c r="D177" t="inlineStr">
        <is>
          <t>Cleaning</t>
        </is>
      </c>
      <c r="E177" t="n">
        <v>8</v>
      </c>
      <c r="F177" t="n">
        <v>0</v>
      </c>
      <c r="G177">
        <f>IFERROR(INDEX('01_STAFF'!$F:$F,MATCH(B177,'01_STAFF'!$A:$A,0))*E177,0)</f>
        <v/>
      </c>
    </row>
    <row r="178">
      <c r="A178" t="inlineStr">
        <is>
          <t>2025-11-21</t>
        </is>
      </c>
      <c r="B178" t="inlineStr">
        <is>
          <t>S03</t>
        </is>
      </c>
      <c r="C178" t="inlineStr">
        <is>
          <t>crops</t>
        </is>
      </c>
      <c r="D178" t="inlineStr">
        <is>
          <t>Spraying</t>
        </is>
      </c>
      <c r="E178" t="n">
        <v>8</v>
      </c>
      <c r="F178" t="n">
        <v>0</v>
      </c>
      <c r="G178">
        <f>IFERROR(INDEX('01_STAFF'!$F:$F,MATCH(B178,'01_STAFF'!$A:$A,0))*E178,0)</f>
        <v/>
      </c>
    </row>
    <row r="179">
      <c r="A179" t="inlineStr">
        <is>
          <t>2025-11-22</t>
        </is>
      </c>
      <c r="B179" t="inlineStr">
        <is>
          <t>S02</t>
        </is>
      </c>
      <c r="C179" t="inlineStr">
        <is>
          <t>poultry</t>
        </is>
      </c>
      <c r="D179" t="inlineStr">
        <is>
          <t>Feeding</t>
        </is>
      </c>
      <c r="E179" t="n">
        <v>8</v>
      </c>
      <c r="F179" t="n">
        <v>0</v>
      </c>
      <c r="G179">
        <f>IFERROR(INDEX('01_STAFF'!$F:$F,MATCH(B179,'01_STAFF'!$A:$A,0))*E179,0)</f>
        <v/>
      </c>
    </row>
    <row r="180">
      <c r="A180" t="inlineStr">
        <is>
          <t>2025-11-22</t>
        </is>
      </c>
      <c r="B180" t="inlineStr">
        <is>
          <t>S04</t>
        </is>
      </c>
      <c r="C180" t="inlineStr">
        <is>
          <t>shared</t>
        </is>
      </c>
      <c r="D180" t="inlineStr">
        <is>
          <t>Marketing</t>
        </is>
      </c>
      <c r="E180" t="n">
        <v>6</v>
      </c>
      <c r="F180" t="n">
        <v>0</v>
      </c>
      <c r="G180">
        <f>IFERROR(INDEX('01_STAFF'!$F:$F,MATCH(B180,'01_STAFF'!$A:$A,0))*E180,0)</f>
        <v/>
      </c>
    </row>
    <row r="181">
      <c r="A181" t="inlineStr">
        <is>
          <t>2025-11-24</t>
        </is>
      </c>
      <c r="B181" t="inlineStr">
        <is>
          <t>S01</t>
        </is>
      </c>
      <c r="C181" t="inlineStr">
        <is>
          <t>piggery</t>
        </is>
      </c>
      <c r="D181" t="inlineStr">
        <is>
          <t>Vaccination</t>
        </is>
      </c>
      <c r="E181" t="n">
        <v>8</v>
      </c>
      <c r="F181" t="n">
        <v>0</v>
      </c>
      <c r="G181">
        <f>IFERROR(INDEX('01_STAFF'!$F:$F,MATCH(B181,'01_STAFF'!$A:$A,0))*E181,0)</f>
        <v/>
      </c>
    </row>
    <row r="182">
      <c r="A182" t="inlineStr">
        <is>
          <t>2025-11-24</t>
        </is>
      </c>
      <c r="B182" t="inlineStr">
        <is>
          <t>S02</t>
        </is>
      </c>
      <c r="C182" t="inlineStr">
        <is>
          <t>poultry</t>
        </is>
      </c>
      <c r="D182" t="inlineStr">
        <is>
          <t>Cleaning</t>
        </is>
      </c>
      <c r="E182" t="n">
        <v>8</v>
      </c>
      <c r="F182" t="n">
        <v>0</v>
      </c>
      <c r="G182">
        <f>IFERROR(INDEX('01_STAFF'!$F:$F,MATCH(B182,'01_STAFF'!$A:$A,0))*E182,0)</f>
        <v/>
      </c>
    </row>
    <row r="183">
      <c r="A183" t="inlineStr">
        <is>
          <t>2025-11-24</t>
        </is>
      </c>
      <c r="B183" t="inlineStr">
        <is>
          <t>S03</t>
        </is>
      </c>
      <c r="C183" t="inlineStr">
        <is>
          <t>crops</t>
        </is>
      </c>
      <c r="D183" t="inlineStr">
        <is>
          <t>Maintenance</t>
        </is>
      </c>
      <c r="E183" t="n">
        <v>8</v>
      </c>
      <c r="F183" t="n">
        <v>1</v>
      </c>
      <c r="G183">
        <f>IFERROR(INDEX('01_STAFF'!$F:$F,MATCH(B183,'01_STAFF'!$A:$A,0))*E183,0)</f>
        <v/>
      </c>
    </row>
    <row r="184">
      <c r="A184" t="inlineStr">
        <is>
          <t>2025-11-24</t>
        </is>
      </c>
      <c r="B184" t="inlineStr">
        <is>
          <t>S04</t>
        </is>
      </c>
      <c r="C184" t="inlineStr">
        <is>
          <t>shared</t>
        </is>
      </c>
      <c r="D184" t="inlineStr">
        <is>
          <t>Weighing</t>
        </is>
      </c>
      <c r="E184" t="n">
        <v>6</v>
      </c>
      <c r="F184" t="n">
        <v>1</v>
      </c>
      <c r="G184">
        <f>IFERROR(INDEX('01_STAFF'!$F:$F,MATCH(B184,'01_STAFF'!$A:$A,0))*E184,0)</f>
        <v/>
      </c>
    </row>
    <row r="185">
      <c r="A185" t="inlineStr">
        <is>
          <t>2025-11-25</t>
        </is>
      </c>
      <c r="B185" t="inlineStr">
        <is>
          <t>S01</t>
        </is>
      </c>
      <c r="C185" t="inlineStr">
        <is>
          <t>piggery</t>
        </is>
      </c>
      <c r="D185" t="inlineStr">
        <is>
          <t>Vaccination</t>
        </is>
      </c>
      <c r="E185" t="n">
        <v>8</v>
      </c>
      <c r="F185" t="n">
        <v>1</v>
      </c>
      <c r="G185">
        <f>IFERROR(INDEX('01_STAFF'!$F:$F,MATCH(B185,'01_STAFF'!$A:$A,0))*E185,0)</f>
        <v/>
      </c>
    </row>
    <row r="186">
      <c r="A186" t="inlineStr">
        <is>
          <t>2025-11-25</t>
        </is>
      </c>
      <c r="B186" t="inlineStr">
        <is>
          <t>S02</t>
        </is>
      </c>
      <c r="C186" t="inlineStr">
        <is>
          <t>poultry</t>
        </is>
      </c>
      <c r="D186" t="inlineStr">
        <is>
          <t>Vaccination</t>
        </is>
      </c>
      <c r="E186" t="n">
        <v>8</v>
      </c>
      <c r="F186" t="n">
        <v>0</v>
      </c>
      <c r="G186">
        <f>IFERROR(INDEX('01_STAFF'!$F:$F,MATCH(B186,'01_STAFF'!$A:$A,0))*E186,0)</f>
        <v/>
      </c>
    </row>
    <row r="187">
      <c r="A187" t="inlineStr">
        <is>
          <t>2025-11-25</t>
        </is>
      </c>
      <c r="B187" t="inlineStr">
        <is>
          <t>S03</t>
        </is>
      </c>
      <c r="C187" t="inlineStr">
        <is>
          <t>crops</t>
        </is>
      </c>
      <c r="D187" t="inlineStr">
        <is>
          <t>Weeding</t>
        </is>
      </c>
      <c r="E187" t="n">
        <v>8</v>
      </c>
      <c r="F187" t="n">
        <v>0</v>
      </c>
      <c r="G187">
        <f>IFERROR(INDEX('01_STAFF'!$F:$F,MATCH(B187,'01_STAFF'!$A:$A,0))*E187,0)</f>
        <v/>
      </c>
    </row>
    <row r="188">
      <c r="A188" t="inlineStr">
        <is>
          <t>2025-11-25</t>
        </is>
      </c>
      <c r="B188" t="inlineStr">
        <is>
          <t>S04</t>
        </is>
      </c>
      <c r="C188" t="inlineStr">
        <is>
          <t>shared</t>
        </is>
      </c>
      <c r="D188" t="inlineStr">
        <is>
          <t>Vaccination</t>
        </is>
      </c>
      <c r="E188" t="n">
        <v>6</v>
      </c>
      <c r="F188" t="n">
        <v>0</v>
      </c>
      <c r="G188">
        <f>IFERROR(INDEX('01_STAFF'!$F:$F,MATCH(B188,'01_STAFF'!$A:$A,0))*E188,0)</f>
        <v/>
      </c>
    </row>
    <row r="189">
      <c r="A189" t="inlineStr">
        <is>
          <t>2025-11-26</t>
        </is>
      </c>
      <c r="B189" t="inlineStr">
        <is>
          <t>S01</t>
        </is>
      </c>
      <c r="C189" t="inlineStr">
        <is>
          <t>piggery</t>
        </is>
      </c>
      <c r="D189" t="inlineStr">
        <is>
          <t>Weighing</t>
        </is>
      </c>
      <c r="E189" t="n">
        <v>8</v>
      </c>
      <c r="F189" t="n">
        <v>0</v>
      </c>
      <c r="G189">
        <f>IFERROR(INDEX('01_STAFF'!$F:$F,MATCH(B189,'01_STAFF'!$A:$A,0))*E189,0)</f>
        <v/>
      </c>
    </row>
    <row r="190">
      <c r="A190" t="inlineStr">
        <is>
          <t>2025-11-26</t>
        </is>
      </c>
      <c r="B190" t="inlineStr">
        <is>
          <t>S03</t>
        </is>
      </c>
      <c r="C190" t="inlineStr">
        <is>
          <t>crops</t>
        </is>
      </c>
      <c r="D190" t="inlineStr">
        <is>
          <t>Spraying</t>
        </is>
      </c>
      <c r="E190" t="n">
        <v>8</v>
      </c>
      <c r="F190" t="n">
        <v>0</v>
      </c>
      <c r="G190">
        <f>IFERROR(INDEX('01_STAFF'!$F:$F,MATCH(B190,'01_STAFF'!$A:$A,0))*E190,0)</f>
        <v/>
      </c>
    </row>
    <row r="191">
      <c r="A191" t="inlineStr">
        <is>
          <t>2025-11-26</t>
        </is>
      </c>
      <c r="B191" t="inlineStr">
        <is>
          <t>S04</t>
        </is>
      </c>
      <c r="C191" t="inlineStr">
        <is>
          <t>shared</t>
        </is>
      </c>
      <c r="D191" t="inlineStr">
        <is>
          <t>Vaccination</t>
        </is>
      </c>
      <c r="E191" t="n">
        <v>7</v>
      </c>
      <c r="F191" t="n">
        <v>0</v>
      </c>
      <c r="G191">
        <f>IFERROR(INDEX('01_STAFF'!$F:$F,MATCH(B191,'01_STAFF'!$A:$A,0))*E191,0)</f>
        <v/>
      </c>
    </row>
    <row r="192">
      <c r="A192" t="inlineStr">
        <is>
          <t>2025-11-27</t>
        </is>
      </c>
      <c r="B192" t="inlineStr">
        <is>
          <t>S01</t>
        </is>
      </c>
      <c r="C192" t="inlineStr">
        <is>
          <t>piggery</t>
        </is>
      </c>
      <c r="D192" t="inlineStr">
        <is>
          <t>Feeding</t>
        </is>
      </c>
      <c r="E192" t="n">
        <v>8</v>
      </c>
      <c r="F192" t="n">
        <v>0</v>
      </c>
      <c r="G192">
        <f>IFERROR(INDEX('01_STAFF'!$F:$F,MATCH(B192,'01_STAFF'!$A:$A,0))*E192,0)</f>
        <v/>
      </c>
    </row>
    <row r="193">
      <c r="A193" t="inlineStr">
        <is>
          <t>2025-11-27</t>
        </is>
      </c>
      <c r="B193" t="inlineStr">
        <is>
          <t>S02</t>
        </is>
      </c>
      <c r="C193" t="inlineStr">
        <is>
          <t>poultry</t>
        </is>
      </c>
      <c r="D193" t="inlineStr">
        <is>
          <t>Feeding</t>
        </is>
      </c>
      <c r="E193" t="n">
        <v>8</v>
      </c>
      <c r="F193" t="n">
        <v>0</v>
      </c>
      <c r="G193">
        <f>IFERROR(INDEX('01_STAFF'!$F:$F,MATCH(B193,'01_STAFF'!$A:$A,0))*E193,0)</f>
        <v/>
      </c>
    </row>
    <row r="194">
      <c r="A194" t="inlineStr">
        <is>
          <t>2025-11-27</t>
        </is>
      </c>
      <c r="B194" t="inlineStr">
        <is>
          <t>S03</t>
        </is>
      </c>
      <c r="C194" t="inlineStr">
        <is>
          <t>crops</t>
        </is>
      </c>
      <c r="D194" t="inlineStr">
        <is>
          <t>Spraying</t>
        </is>
      </c>
      <c r="E194" t="n">
        <v>8</v>
      </c>
      <c r="F194" t="n">
        <v>0</v>
      </c>
      <c r="G194">
        <f>IFERROR(INDEX('01_STAFF'!$F:$F,MATCH(B194,'01_STAFF'!$A:$A,0))*E194,0)</f>
        <v/>
      </c>
    </row>
    <row r="195">
      <c r="A195" t="inlineStr">
        <is>
          <t>2025-11-27</t>
        </is>
      </c>
      <c r="B195" t="inlineStr">
        <is>
          <t>S04</t>
        </is>
      </c>
      <c r="C195" t="inlineStr">
        <is>
          <t>shared</t>
        </is>
      </c>
      <c r="D195" t="inlineStr">
        <is>
          <t>Weighing</t>
        </is>
      </c>
      <c r="E195" t="n">
        <v>5</v>
      </c>
      <c r="F195" t="n">
        <v>0</v>
      </c>
      <c r="G195">
        <f>IFERROR(INDEX('01_STAFF'!$F:$F,MATCH(B195,'01_STAFF'!$A:$A,0))*E195,0)</f>
        <v/>
      </c>
    </row>
    <row r="196">
      <c r="A196" t="inlineStr">
        <is>
          <t>2025-11-28</t>
        </is>
      </c>
      <c r="B196" t="inlineStr">
        <is>
          <t>S01</t>
        </is>
      </c>
      <c r="C196" t="inlineStr">
        <is>
          <t>piggery</t>
        </is>
      </c>
      <c r="D196" t="inlineStr">
        <is>
          <t>Vaccination</t>
        </is>
      </c>
      <c r="E196" t="n">
        <v>8</v>
      </c>
      <c r="F196" t="n">
        <v>0</v>
      </c>
      <c r="G196">
        <f>IFERROR(INDEX('01_STAFF'!$F:$F,MATCH(B196,'01_STAFF'!$A:$A,0))*E196,0)</f>
        <v/>
      </c>
    </row>
    <row r="197">
      <c r="A197" t="inlineStr">
        <is>
          <t>2025-11-28</t>
        </is>
      </c>
      <c r="B197" t="inlineStr">
        <is>
          <t>S02</t>
        </is>
      </c>
      <c r="C197" t="inlineStr">
        <is>
          <t>poultry</t>
        </is>
      </c>
      <c r="D197" t="inlineStr">
        <is>
          <t>Vaccination</t>
        </is>
      </c>
      <c r="E197" t="n">
        <v>8</v>
      </c>
      <c r="F197" t="n">
        <v>0</v>
      </c>
      <c r="G197">
        <f>IFERROR(INDEX('01_STAFF'!$F:$F,MATCH(B197,'01_STAFF'!$A:$A,0))*E197,0)</f>
        <v/>
      </c>
    </row>
    <row r="198">
      <c r="A198" t="inlineStr">
        <is>
          <t>2025-11-28</t>
        </is>
      </c>
      <c r="B198" t="inlineStr">
        <is>
          <t>S03</t>
        </is>
      </c>
      <c r="C198" t="inlineStr">
        <is>
          <t>crops</t>
        </is>
      </c>
      <c r="D198" t="inlineStr">
        <is>
          <t>Spraying</t>
        </is>
      </c>
      <c r="E198" t="n">
        <v>8</v>
      </c>
      <c r="F198" t="n">
        <v>0</v>
      </c>
      <c r="G198">
        <f>IFERROR(INDEX('01_STAFF'!$F:$F,MATCH(B198,'01_STAFF'!$A:$A,0))*E198,0)</f>
        <v/>
      </c>
    </row>
    <row r="199">
      <c r="A199" t="inlineStr">
        <is>
          <t>2025-11-28</t>
        </is>
      </c>
      <c r="B199" t="inlineStr">
        <is>
          <t>S04</t>
        </is>
      </c>
      <c r="C199" t="inlineStr">
        <is>
          <t>shared</t>
        </is>
      </c>
      <c r="D199" t="inlineStr">
        <is>
          <t>Maintenance</t>
        </is>
      </c>
      <c r="E199" t="n">
        <v>7</v>
      </c>
      <c r="F199" t="n">
        <v>0</v>
      </c>
      <c r="G199">
        <f>IFERROR(INDEX('01_STAFF'!$F:$F,MATCH(B199,'01_STAFF'!$A:$A,0))*E199,0)</f>
        <v/>
      </c>
    </row>
    <row r="200">
      <c r="A200" t="inlineStr">
        <is>
          <t>2025-11-29</t>
        </is>
      </c>
      <c r="B200" t="inlineStr">
        <is>
          <t>S01</t>
        </is>
      </c>
      <c r="C200" t="inlineStr">
        <is>
          <t>piggery</t>
        </is>
      </c>
      <c r="D200" t="inlineStr">
        <is>
          <t>Feeding</t>
        </is>
      </c>
      <c r="E200" t="n">
        <v>8</v>
      </c>
      <c r="F200" t="n">
        <v>0</v>
      </c>
      <c r="G200">
        <f>IFERROR(INDEX('01_STAFF'!$F:$F,MATCH(B200,'01_STAFF'!$A:$A,0))*E200,0)</f>
        <v/>
      </c>
    </row>
    <row r="201">
      <c r="A201" t="inlineStr">
        <is>
          <t>2025-11-29</t>
        </is>
      </c>
      <c r="B201" t="inlineStr">
        <is>
          <t>S02</t>
        </is>
      </c>
      <c r="C201" t="inlineStr">
        <is>
          <t>poultry</t>
        </is>
      </c>
      <c r="D201" t="inlineStr">
        <is>
          <t>Feeding</t>
        </is>
      </c>
      <c r="E201" t="n">
        <v>8</v>
      </c>
      <c r="F201" t="n">
        <v>0</v>
      </c>
      <c r="G201">
        <f>IFERROR(INDEX('01_STAFF'!$F:$F,MATCH(B201,'01_STAFF'!$A:$A,0))*E201,0)</f>
        <v/>
      </c>
    </row>
    <row r="202">
      <c r="A202" t="inlineStr">
        <is>
          <t>2025-11-29</t>
        </is>
      </c>
      <c r="B202" t="inlineStr">
        <is>
          <t>S03</t>
        </is>
      </c>
      <c r="C202" t="inlineStr">
        <is>
          <t>crops</t>
        </is>
      </c>
      <c r="D202" t="inlineStr">
        <is>
          <t>Harvest</t>
        </is>
      </c>
      <c r="E202" t="n">
        <v>8</v>
      </c>
      <c r="F202" t="n">
        <v>1</v>
      </c>
      <c r="G202">
        <f>IFERROR(INDEX('01_STAFF'!$F:$F,MATCH(B202,'01_STAFF'!$A:$A,0))*E202,0)</f>
        <v/>
      </c>
    </row>
    <row r="203">
      <c r="A203" t="inlineStr">
        <is>
          <t>2025-11-29</t>
        </is>
      </c>
      <c r="B203" t="inlineStr">
        <is>
          <t>S04</t>
        </is>
      </c>
      <c r="C203" t="inlineStr">
        <is>
          <t>shared</t>
        </is>
      </c>
      <c r="D203" t="inlineStr">
        <is>
          <t>Weighing</t>
        </is>
      </c>
      <c r="E203" t="n">
        <v>6</v>
      </c>
      <c r="F203" t="n">
        <v>0</v>
      </c>
      <c r="G203">
        <f>IFERROR(INDEX('01_STAFF'!$F:$F,MATCH(B203,'01_STAFF'!$A:$A,0))*E203,0)</f>
        <v/>
      </c>
    </row>
    <row r="204">
      <c r="A204" t="inlineStr">
        <is>
          <t>2025-11-30</t>
        </is>
      </c>
      <c r="B204" t="inlineStr">
        <is>
          <t>S01</t>
        </is>
      </c>
      <c r="C204" t="inlineStr">
        <is>
          <t>piggery</t>
        </is>
      </c>
      <c r="D204" t="inlineStr">
        <is>
          <t>Cleaning</t>
        </is>
      </c>
      <c r="E204" t="n">
        <v>8</v>
      </c>
      <c r="F204" t="n">
        <v>0</v>
      </c>
      <c r="G204">
        <f>IFERROR(INDEX('01_STAFF'!$F:$F,MATCH(B204,'01_STAFF'!$A:$A,0))*E204,0)</f>
        <v/>
      </c>
    </row>
    <row r="205">
      <c r="A205" t="inlineStr">
        <is>
          <t>2025-11-30</t>
        </is>
      </c>
      <c r="B205" t="inlineStr">
        <is>
          <t>S02</t>
        </is>
      </c>
      <c r="C205" t="inlineStr">
        <is>
          <t>poultry</t>
        </is>
      </c>
      <c r="D205" t="inlineStr">
        <is>
          <t>Feeding</t>
        </is>
      </c>
      <c r="E205" t="n">
        <v>8</v>
      </c>
      <c r="F205" t="n">
        <v>0</v>
      </c>
      <c r="G205">
        <f>IFERROR(INDEX('01_STAFF'!$F:$F,MATCH(B205,'01_STAFF'!$A:$A,0))*E205,0)</f>
        <v/>
      </c>
    </row>
    <row r="206">
      <c r="A206" t="inlineStr">
        <is>
          <t>2025-11-30</t>
        </is>
      </c>
      <c r="B206" t="inlineStr">
        <is>
          <t>S03</t>
        </is>
      </c>
      <c r="C206" t="inlineStr">
        <is>
          <t>crops</t>
        </is>
      </c>
      <c r="D206" t="inlineStr">
        <is>
          <t>Harvest</t>
        </is>
      </c>
      <c r="E206" t="n">
        <v>8</v>
      </c>
      <c r="F206" t="n">
        <v>0</v>
      </c>
      <c r="G206">
        <f>IFERROR(INDEX('01_STAFF'!$F:$F,MATCH(B206,'01_STAFF'!$A:$A,0))*E206,0)</f>
        <v/>
      </c>
    </row>
    <row r="207">
      <c r="A207" t="inlineStr">
        <is>
          <t>2025-11-30</t>
        </is>
      </c>
      <c r="B207" t="inlineStr">
        <is>
          <t>S04</t>
        </is>
      </c>
      <c r="C207" t="inlineStr">
        <is>
          <t>shared</t>
        </is>
      </c>
      <c r="D207" t="inlineStr">
        <is>
          <t>Weighing</t>
        </is>
      </c>
      <c r="E207" t="n">
        <v>5</v>
      </c>
      <c r="F207" t="n">
        <v>0</v>
      </c>
      <c r="G207">
        <f>IFERROR(INDEX('01_STAFF'!$F:$F,MATCH(B207,'01_STAFF'!$A:$A,0))*E207,0)</f>
        <v/>
      </c>
    </row>
    <row r="208">
      <c r="A208" t="inlineStr">
        <is>
          <t>2025-12-01</t>
        </is>
      </c>
      <c r="B208" t="inlineStr">
        <is>
          <t>S01</t>
        </is>
      </c>
      <c r="C208" t="inlineStr">
        <is>
          <t>piggery</t>
        </is>
      </c>
      <c r="D208" t="inlineStr">
        <is>
          <t>Weighing</t>
        </is>
      </c>
      <c r="E208" t="n">
        <v>8</v>
      </c>
      <c r="F208" t="n">
        <v>0</v>
      </c>
      <c r="G208">
        <f>IFERROR(INDEX('01_STAFF'!$F:$F,MATCH(B208,'01_STAFF'!$A:$A,0))*E208,0)</f>
        <v/>
      </c>
    </row>
    <row r="209">
      <c r="A209" t="inlineStr">
        <is>
          <t>2025-12-01</t>
        </is>
      </c>
      <c r="B209" t="inlineStr">
        <is>
          <t>S02</t>
        </is>
      </c>
      <c r="C209" t="inlineStr">
        <is>
          <t>poultry</t>
        </is>
      </c>
      <c r="D209" t="inlineStr">
        <is>
          <t>Weighing</t>
        </is>
      </c>
      <c r="E209" t="n">
        <v>8</v>
      </c>
      <c r="F209" t="n">
        <v>0</v>
      </c>
      <c r="G209">
        <f>IFERROR(INDEX('01_STAFF'!$F:$F,MATCH(B209,'01_STAFF'!$A:$A,0))*E209,0)</f>
        <v/>
      </c>
    </row>
    <row r="210">
      <c r="A210" t="inlineStr">
        <is>
          <t>2025-12-01</t>
        </is>
      </c>
      <c r="B210" t="inlineStr">
        <is>
          <t>S03</t>
        </is>
      </c>
      <c r="C210" t="inlineStr">
        <is>
          <t>crops</t>
        </is>
      </c>
      <c r="D210" t="inlineStr">
        <is>
          <t>Maintenance</t>
        </is>
      </c>
      <c r="E210" t="n">
        <v>8</v>
      </c>
      <c r="F210" t="n">
        <v>0</v>
      </c>
      <c r="G210">
        <f>IFERROR(INDEX('01_STAFF'!$F:$F,MATCH(B210,'01_STAFF'!$A:$A,0))*E210,0)</f>
        <v/>
      </c>
    </row>
    <row r="211">
      <c r="A211" t="inlineStr">
        <is>
          <t>2025-12-01</t>
        </is>
      </c>
      <c r="B211" t="inlineStr">
        <is>
          <t>S04</t>
        </is>
      </c>
      <c r="C211" t="inlineStr">
        <is>
          <t>shared</t>
        </is>
      </c>
      <c r="D211" t="inlineStr">
        <is>
          <t>Marketing</t>
        </is>
      </c>
      <c r="E211" t="n">
        <v>7</v>
      </c>
      <c r="F211" t="n">
        <v>1</v>
      </c>
      <c r="G211">
        <f>IFERROR(INDEX('01_STAFF'!$F:$F,MATCH(B211,'01_STAFF'!$A:$A,0))*E211,0)</f>
        <v/>
      </c>
    </row>
    <row r="212">
      <c r="A212" t="inlineStr">
        <is>
          <t>2025-12-02</t>
        </is>
      </c>
      <c r="B212" t="inlineStr">
        <is>
          <t>S01</t>
        </is>
      </c>
      <c r="C212" t="inlineStr">
        <is>
          <t>piggery</t>
        </is>
      </c>
      <c r="D212" t="inlineStr">
        <is>
          <t>Feeding</t>
        </is>
      </c>
      <c r="E212" t="n">
        <v>8</v>
      </c>
      <c r="F212" t="n">
        <v>1</v>
      </c>
      <c r="G212">
        <f>IFERROR(INDEX('01_STAFF'!$F:$F,MATCH(B212,'01_STAFF'!$A:$A,0))*E212,0)</f>
        <v/>
      </c>
    </row>
    <row r="213">
      <c r="A213" t="inlineStr">
        <is>
          <t>2025-12-02</t>
        </is>
      </c>
      <c r="B213" t="inlineStr">
        <is>
          <t>S02</t>
        </is>
      </c>
      <c r="C213" t="inlineStr">
        <is>
          <t>poultry</t>
        </is>
      </c>
      <c r="D213" t="inlineStr">
        <is>
          <t>Weighing</t>
        </is>
      </c>
      <c r="E213" t="n">
        <v>8</v>
      </c>
      <c r="F213" t="n">
        <v>0</v>
      </c>
      <c r="G213">
        <f>IFERROR(INDEX('01_STAFF'!$F:$F,MATCH(B213,'01_STAFF'!$A:$A,0))*E213,0)</f>
        <v/>
      </c>
    </row>
    <row r="214">
      <c r="A214" t="inlineStr">
        <is>
          <t>2025-12-02</t>
        </is>
      </c>
      <c r="B214" t="inlineStr">
        <is>
          <t>S03</t>
        </is>
      </c>
      <c r="C214" t="inlineStr">
        <is>
          <t>crops</t>
        </is>
      </c>
      <c r="D214" t="inlineStr">
        <is>
          <t>Land prep</t>
        </is>
      </c>
      <c r="E214" t="n">
        <v>8</v>
      </c>
      <c r="F214" t="n">
        <v>0</v>
      </c>
      <c r="G214">
        <f>IFERROR(INDEX('01_STAFF'!$F:$F,MATCH(B214,'01_STAFF'!$A:$A,0))*E214,0)</f>
        <v/>
      </c>
    </row>
    <row r="215">
      <c r="A215" t="inlineStr">
        <is>
          <t>2025-12-02</t>
        </is>
      </c>
      <c r="B215" t="inlineStr">
        <is>
          <t>S04</t>
        </is>
      </c>
      <c r="C215" t="inlineStr">
        <is>
          <t>shared</t>
        </is>
      </c>
      <c r="D215" t="inlineStr">
        <is>
          <t>Weighing</t>
        </is>
      </c>
      <c r="E215" t="n">
        <v>6</v>
      </c>
      <c r="F215" t="n">
        <v>0</v>
      </c>
      <c r="G215">
        <f>IFERROR(INDEX('01_STAFF'!$F:$F,MATCH(B215,'01_STAFF'!$A:$A,0))*E215,0)</f>
        <v/>
      </c>
    </row>
    <row r="216">
      <c r="A216" t="inlineStr">
        <is>
          <t>2025-12-03</t>
        </is>
      </c>
      <c r="B216" t="inlineStr">
        <is>
          <t>S01</t>
        </is>
      </c>
      <c r="C216" t="inlineStr">
        <is>
          <t>piggery</t>
        </is>
      </c>
      <c r="D216" t="inlineStr">
        <is>
          <t>Vaccination</t>
        </is>
      </c>
      <c r="E216" t="n">
        <v>8</v>
      </c>
      <c r="F216" t="n">
        <v>0</v>
      </c>
      <c r="G216">
        <f>IFERROR(INDEX('01_STAFF'!$F:$F,MATCH(B216,'01_STAFF'!$A:$A,0))*E216,0)</f>
        <v/>
      </c>
    </row>
    <row r="217">
      <c r="A217" t="inlineStr">
        <is>
          <t>2025-12-03</t>
        </is>
      </c>
      <c r="B217" t="inlineStr">
        <is>
          <t>S02</t>
        </is>
      </c>
      <c r="C217" t="inlineStr">
        <is>
          <t>poultry</t>
        </is>
      </c>
      <c r="D217" t="inlineStr">
        <is>
          <t>Vaccination</t>
        </is>
      </c>
      <c r="E217" t="n">
        <v>8</v>
      </c>
      <c r="F217" t="n">
        <v>0</v>
      </c>
      <c r="G217">
        <f>IFERROR(INDEX('01_STAFF'!$F:$F,MATCH(B217,'01_STAFF'!$A:$A,0))*E217,0)</f>
        <v/>
      </c>
    </row>
    <row r="218">
      <c r="A218" t="inlineStr">
        <is>
          <t>2025-12-03</t>
        </is>
      </c>
      <c r="B218" t="inlineStr">
        <is>
          <t>S03</t>
        </is>
      </c>
      <c r="C218" t="inlineStr">
        <is>
          <t>crops</t>
        </is>
      </c>
      <c r="D218" t="inlineStr">
        <is>
          <t>Spraying</t>
        </is>
      </c>
      <c r="E218" t="n">
        <v>8</v>
      </c>
      <c r="F218" t="n">
        <v>0</v>
      </c>
      <c r="G218">
        <f>IFERROR(INDEX('01_STAFF'!$F:$F,MATCH(B218,'01_STAFF'!$A:$A,0))*E218,0)</f>
        <v/>
      </c>
    </row>
    <row r="219">
      <c r="A219" t="inlineStr">
        <is>
          <t>2025-12-03</t>
        </is>
      </c>
      <c r="B219" t="inlineStr">
        <is>
          <t>S04</t>
        </is>
      </c>
      <c r="C219" t="inlineStr">
        <is>
          <t>shared</t>
        </is>
      </c>
      <c r="D219" t="inlineStr">
        <is>
          <t>Marketing</t>
        </is>
      </c>
      <c r="E219" t="n">
        <v>5</v>
      </c>
      <c r="F219" t="n">
        <v>1</v>
      </c>
      <c r="G219">
        <f>IFERROR(INDEX('01_STAFF'!$F:$F,MATCH(B219,'01_STAFF'!$A:$A,0))*E219,0)</f>
        <v/>
      </c>
    </row>
    <row r="220">
      <c r="A220" t="inlineStr">
        <is>
          <t>2025-12-04</t>
        </is>
      </c>
      <c r="B220" t="inlineStr">
        <is>
          <t>S02</t>
        </is>
      </c>
      <c r="C220" t="inlineStr">
        <is>
          <t>poultry</t>
        </is>
      </c>
      <c r="D220" t="inlineStr">
        <is>
          <t>Vaccination</t>
        </is>
      </c>
      <c r="E220" t="n">
        <v>8</v>
      </c>
      <c r="F220" t="n">
        <v>0</v>
      </c>
      <c r="G220">
        <f>IFERROR(INDEX('01_STAFF'!$F:$F,MATCH(B220,'01_STAFF'!$A:$A,0))*E220,0)</f>
        <v/>
      </c>
    </row>
    <row r="221">
      <c r="A221" t="inlineStr">
        <is>
          <t>2025-12-04</t>
        </is>
      </c>
      <c r="B221" t="inlineStr">
        <is>
          <t>S03</t>
        </is>
      </c>
      <c r="C221" t="inlineStr">
        <is>
          <t>crops</t>
        </is>
      </c>
      <c r="D221" t="inlineStr">
        <is>
          <t>Weeding</t>
        </is>
      </c>
      <c r="E221" t="n">
        <v>8</v>
      </c>
      <c r="F221" t="n">
        <v>1</v>
      </c>
      <c r="G221">
        <f>IFERROR(INDEX('01_STAFF'!$F:$F,MATCH(B221,'01_STAFF'!$A:$A,0))*E221,0)</f>
        <v/>
      </c>
    </row>
    <row r="222">
      <c r="A222" t="inlineStr">
        <is>
          <t>2025-12-04</t>
        </is>
      </c>
      <c r="B222" t="inlineStr">
        <is>
          <t>S04</t>
        </is>
      </c>
      <c r="C222" t="inlineStr">
        <is>
          <t>shared</t>
        </is>
      </c>
      <c r="D222" t="inlineStr">
        <is>
          <t>Weighing</t>
        </is>
      </c>
      <c r="E222" t="n">
        <v>7</v>
      </c>
      <c r="F222" t="n">
        <v>0</v>
      </c>
      <c r="G222">
        <f>IFERROR(INDEX('01_STAFF'!$F:$F,MATCH(B222,'01_STAFF'!$A:$A,0))*E222,0)</f>
        <v/>
      </c>
    </row>
    <row r="223">
      <c r="A223" t="inlineStr">
        <is>
          <t>2025-12-05</t>
        </is>
      </c>
      <c r="B223" t="inlineStr">
        <is>
          <t>S01</t>
        </is>
      </c>
      <c r="C223" t="inlineStr">
        <is>
          <t>piggery</t>
        </is>
      </c>
      <c r="D223" t="inlineStr">
        <is>
          <t>Vaccination</t>
        </is>
      </c>
      <c r="E223" t="n">
        <v>8</v>
      </c>
      <c r="F223" t="n">
        <v>0</v>
      </c>
      <c r="G223">
        <f>IFERROR(INDEX('01_STAFF'!$F:$F,MATCH(B223,'01_STAFF'!$A:$A,0))*E223,0)</f>
        <v/>
      </c>
    </row>
    <row r="224">
      <c r="A224" t="inlineStr">
        <is>
          <t>2025-12-05</t>
        </is>
      </c>
      <c r="B224" t="inlineStr">
        <is>
          <t>S02</t>
        </is>
      </c>
      <c r="C224" t="inlineStr">
        <is>
          <t>poultry</t>
        </is>
      </c>
      <c r="D224" t="inlineStr">
        <is>
          <t>Vaccination</t>
        </is>
      </c>
      <c r="E224" t="n">
        <v>8</v>
      </c>
      <c r="F224" t="n">
        <v>0</v>
      </c>
      <c r="G224">
        <f>IFERROR(INDEX('01_STAFF'!$F:$F,MATCH(B224,'01_STAFF'!$A:$A,0))*E224,0)</f>
        <v/>
      </c>
    </row>
    <row r="225">
      <c r="A225" t="inlineStr">
        <is>
          <t>2025-12-05</t>
        </is>
      </c>
      <c r="B225" t="inlineStr">
        <is>
          <t>S03</t>
        </is>
      </c>
      <c r="C225" t="inlineStr">
        <is>
          <t>crops</t>
        </is>
      </c>
      <c r="D225" t="inlineStr">
        <is>
          <t>Spraying</t>
        </is>
      </c>
      <c r="E225" t="n">
        <v>8</v>
      </c>
      <c r="F225" t="n">
        <v>0</v>
      </c>
      <c r="G225">
        <f>IFERROR(INDEX('01_STAFF'!$F:$F,MATCH(B225,'01_STAFF'!$A:$A,0))*E225,0)</f>
        <v/>
      </c>
    </row>
    <row r="226">
      <c r="A226" t="inlineStr">
        <is>
          <t>2025-12-05</t>
        </is>
      </c>
      <c r="B226" t="inlineStr">
        <is>
          <t>S04</t>
        </is>
      </c>
      <c r="C226" t="inlineStr">
        <is>
          <t>shared</t>
        </is>
      </c>
      <c r="D226" t="inlineStr">
        <is>
          <t>Maintenance</t>
        </is>
      </c>
      <c r="E226" t="n">
        <v>6</v>
      </c>
      <c r="F226" t="n">
        <v>0</v>
      </c>
      <c r="G226">
        <f>IFERROR(INDEX('01_STAFF'!$F:$F,MATCH(B226,'01_STAFF'!$A:$A,0))*E226,0)</f>
        <v/>
      </c>
    </row>
    <row r="227">
      <c r="A227" t="inlineStr">
        <is>
          <t>2025-12-06</t>
        </is>
      </c>
      <c r="B227" t="inlineStr">
        <is>
          <t>S01</t>
        </is>
      </c>
      <c r="C227" t="inlineStr">
        <is>
          <t>piggery</t>
        </is>
      </c>
      <c r="D227" t="inlineStr">
        <is>
          <t>Weighing</t>
        </is>
      </c>
      <c r="E227" t="n">
        <v>8</v>
      </c>
      <c r="F227" t="n">
        <v>0</v>
      </c>
      <c r="G227">
        <f>IFERROR(INDEX('01_STAFF'!$F:$F,MATCH(B227,'01_STAFF'!$A:$A,0))*E227,0)</f>
        <v/>
      </c>
    </row>
    <row r="228">
      <c r="A228" t="inlineStr">
        <is>
          <t>2025-12-06</t>
        </is>
      </c>
      <c r="B228" t="inlineStr">
        <is>
          <t>S02</t>
        </is>
      </c>
      <c r="C228" t="inlineStr">
        <is>
          <t>poultry</t>
        </is>
      </c>
      <c r="D228" t="inlineStr">
        <is>
          <t>Weighing</t>
        </is>
      </c>
      <c r="E228" t="n">
        <v>8</v>
      </c>
      <c r="F228" t="n">
        <v>1</v>
      </c>
      <c r="G228">
        <f>IFERROR(INDEX('01_STAFF'!$F:$F,MATCH(B228,'01_STAFF'!$A:$A,0))*E228,0)</f>
        <v/>
      </c>
    </row>
    <row r="229">
      <c r="A229" t="inlineStr">
        <is>
          <t>2025-12-06</t>
        </is>
      </c>
      <c r="B229" t="inlineStr">
        <is>
          <t>S04</t>
        </is>
      </c>
      <c r="C229" t="inlineStr">
        <is>
          <t>shared</t>
        </is>
      </c>
      <c r="D229" t="inlineStr">
        <is>
          <t>Vaccination</t>
        </is>
      </c>
      <c r="E229" t="n">
        <v>5</v>
      </c>
      <c r="F229" t="n">
        <v>0</v>
      </c>
      <c r="G229">
        <f>IFERROR(INDEX('01_STAFF'!$F:$F,MATCH(B229,'01_STAFF'!$A:$A,0))*E229,0)</f>
        <v/>
      </c>
    </row>
    <row r="230">
      <c r="A230" t="inlineStr">
        <is>
          <t>2025-12-08</t>
        </is>
      </c>
      <c r="B230" t="inlineStr">
        <is>
          <t>S01</t>
        </is>
      </c>
      <c r="C230" t="inlineStr">
        <is>
          <t>piggery</t>
        </is>
      </c>
      <c r="D230" t="inlineStr">
        <is>
          <t>Weighing</t>
        </is>
      </c>
      <c r="E230" t="n">
        <v>8</v>
      </c>
      <c r="F230" t="n">
        <v>0</v>
      </c>
      <c r="G230">
        <f>IFERROR(INDEX('01_STAFF'!$F:$F,MATCH(B230,'01_STAFF'!$A:$A,0))*E230,0)</f>
        <v/>
      </c>
    </row>
    <row r="231">
      <c r="A231" t="inlineStr">
        <is>
          <t>2025-12-08</t>
        </is>
      </c>
      <c r="B231" t="inlineStr">
        <is>
          <t>S03</t>
        </is>
      </c>
      <c r="C231" t="inlineStr">
        <is>
          <t>crops</t>
        </is>
      </c>
      <c r="D231" t="inlineStr">
        <is>
          <t>Land prep</t>
        </is>
      </c>
      <c r="E231" t="n">
        <v>8</v>
      </c>
      <c r="F231" t="n">
        <v>0</v>
      </c>
      <c r="G231">
        <f>IFERROR(INDEX('01_STAFF'!$F:$F,MATCH(B231,'01_STAFF'!$A:$A,0))*E231,0)</f>
        <v/>
      </c>
    </row>
    <row r="232">
      <c r="A232" t="inlineStr">
        <is>
          <t>2025-12-08</t>
        </is>
      </c>
      <c r="B232" t="inlineStr">
        <is>
          <t>S04</t>
        </is>
      </c>
      <c r="C232" t="inlineStr">
        <is>
          <t>shared</t>
        </is>
      </c>
      <c r="D232" t="inlineStr">
        <is>
          <t>Maintenance</t>
        </is>
      </c>
      <c r="E232" t="n">
        <v>6</v>
      </c>
      <c r="F232" t="n">
        <v>0</v>
      </c>
      <c r="G232">
        <f>IFERROR(INDEX('01_STAFF'!$F:$F,MATCH(B232,'01_STAFF'!$A:$A,0))*E232,0)</f>
        <v/>
      </c>
    </row>
    <row r="233">
      <c r="A233" t="inlineStr">
        <is>
          <t>2025-12-09</t>
        </is>
      </c>
      <c r="B233" t="inlineStr">
        <is>
          <t>S01</t>
        </is>
      </c>
      <c r="C233" t="inlineStr">
        <is>
          <t>piggery</t>
        </is>
      </c>
      <c r="D233" t="inlineStr">
        <is>
          <t>Feeding</t>
        </is>
      </c>
      <c r="E233" t="n">
        <v>8</v>
      </c>
      <c r="F233" t="n">
        <v>0</v>
      </c>
      <c r="G233">
        <f>IFERROR(INDEX('01_STAFF'!$F:$F,MATCH(B233,'01_STAFF'!$A:$A,0))*E233,0)</f>
        <v/>
      </c>
    </row>
    <row r="234">
      <c r="A234" t="inlineStr">
        <is>
          <t>2025-12-09</t>
        </is>
      </c>
      <c r="B234" t="inlineStr">
        <is>
          <t>S02</t>
        </is>
      </c>
      <c r="C234" t="inlineStr">
        <is>
          <t>poultry</t>
        </is>
      </c>
      <c r="D234" t="inlineStr">
        <is>
          <t>Feeding</t>
        </is>
      </c>
      <c r="E234" t="n">
        <v>8</v>
      </c>
      <c r="F234" t="n">
        <v>0</v>
      </c>
      <c r="G234">
        <f>IFERROR(INDEX('01_STAFF'!$F:$F,MATCH(B234,'01_STAFF'!$A:$A,0))*E234,0)</f>
        <v/>
      </c>
    </row>
    <row r="235">
      <c r="A235" t="inlineStr">
        <is>
          <t>2025-12-09</t>
        </is>
      </c>
      <c r="B235" t="inlineStr">
        <is>
          <t>S03</t>
        </is>
      </c>
      <c r="C235" t="inlineStr">
        <is>
          <t>crops</t>
        </is>
      </c>
      <c r="D235" t="inlineStr">
        <is>
          <t>Harvest</t>
        </is>
      </c>
      <c r="E235" t="n">
        <v>8</v>
      </c>
      <c r="F235" t="n">
        <v>0</v>
      </c>
      <c r="G235">
        <f>IFERROR(INDEX('01_STAFF'!$F:$F,MATCH(B235,'01_STAFF'!$A:$A,0))*E235,0)</f>
        <v/>
      </c>
    </row>
    <row r="236">
      <c r="A236" t="inlineStr">
        <is>
          <t>2025-12-09</t>
        </is>
      </c>
      <c r="B236" t="inlineStr">
        <is>
          <t>S04</t>
        </is>
      </c>
      <c r="C236" t="inlineStr">
        <is>
          <t>shared</t>
        </is>
      </c>
      <c r="D236" t="inlineStr">
        <is>
          <t>Vaccination</t>
        </is>
      </c>
      <c r="E236" t="n">
        <v>7</v>
      </c>
      <c r="F236" t="n">
        <v>0</v>
      </c>
      <c r="G236">
        <f>IFERROR(INDEX('01_STAFF'!$F:$F,MATCH(B236,'01_STAFF'!$A:$A,0))*E236,0)</f>
        <v/>
      </c>
    </row>
    <row r="237">
      <c r="A237" t="inlineStr">
        <is>
          <t>2025-12-10</t>
        </is>
      </c>
      <c r="B237" t="inlineStr">
        <is>
          <t>S01</t>
        </is>
      </c>
      <c r="C237" t="inlineStr">
        <is>
          <t>piggery</t>
        </is>
      </c>
      <c r="D237" t="inlineStr">
        <is>
          <t>Feeding</t>
        </is>
      </c>
      <c r="E237" t="n">
        <v>8</v>
      </c>
      <c r="F237" t="n">
        <v>0</v>
      </c>
      <c r="G237">
        <f>IFERROR(INDEX('01_STAFF'!$F:$F,MATCH(B237,'01_STAFF'!$A:$A,0))*E237,0)</f>
        <v/>
      </c>
    </row>
    <row r="238">
      <c r="A238" t="inlineStr">
        <is>
          <t>2025-12-10</t>
        </is>
      </c>
      <c r="B238" t="inlineStr">
        <is>
          <t>S02</t>
        </is>
      </c>
      <c r="C238" t="inlineStr">
        <is>
          <t>poultry</t>
        </is>
      </c>
      <c r="D238" t="inlineStr">
        <is>
          <t>Weighing</t>
        </is>
      </c>
      <c r="E238" t="n">
        <v>8</v>
      </c>
      <c r="F238" t="n">
        <v>0</v>
      </c>
      <c r="G238">
        <f>IFERROR(INDEX('01_STAFF'!$F:$F,MATCH(B238,'01_STAFF'!$A:$A,0))*E238,0)</f>
        <v/>
      </c>
    </row>
    <row r="239">
      <c r="A239" t="inlineStr">
        <is>
          <t>2025-12-10</t>
        </is>
      </c>
      <c r="B239" t="inlineStr">
        <is>
          <t>S03</t>
        </is>
      </c>
      <c r="C239" t="inlineStr">
        <is>
          <t>crops</t>
        </is>
      </c>
      <c r="D239" t="inlineStr">
        <is>
          <t>Land prep</t>
        </is>
      </c>
      <c r="E239" t="n">
        <v>8</v>
      </c>
      <c r="F239" t="n">
        <v>0</v>
      </c>
      <c r="G239">
        <f>IFERROR(INDEX('01_STAFF'!$F:$F,MATCH(B239,'01_STAFF'!$A:$A,0))*E239,0)</f>
        <v/>
      </c>
    </row>
    <row r="240">
      <c r="A240" t="inlineStr">
        <is>
          <t>2025-12-10</t>
        </is>
      </c>
      <c r="B240" t="inlineStr">
        <is>
          <t>S04</t>
        </is>
      </c>
      <c r="C240" t="inlineStr">
        <is>
          <t>shared</t>
        </is>
      </c>
      <c r="D240" t="inlineStr">
        <is>
          <t>Maintenance</t>
        </is>
      </c>
      <c r="E240" t="n">
        <v>6</v>
      </c>
      <c r="F240" t="n">
        <v>0</v>
      </c>
      <c r="G240">
        <f>IFERROR(INDEX('01_STAFF'!$F:$F,MATCH(B240,'01_STAFF'!$A:$A,0))*E240,0)</f>
        <v/>
      </c>
    </row>
    <row r="241">
      <c r="A241" t="inlineStr">
        <is>
          <t>2025-12-11</t>
        </is>
      </c>
      <c r="B241" t="inlineStr">
        <is>
          <t>S01</t>
        </is>
      </c>
      <c r="C241" t="inlineStr">
        <is>
          <t>piggery</t>
        </is>
      </c>
      <c r="D241" t="inlineStr">
        <is>
          <t>Feeding</t>
        </is>
      </c>
      <c r="E241" t="n">
        <v>8</v>
      </c>
      <c r="F241" t="n">
        <v>0</v>
      </c>
      <c r="G241">
        <f>IFERROR(INDEX('01_STAFF'!$F:$F,MATCH(B241,'01_STAFF'!$A:$A,0))*E241,0)</f>
        <v/>
      </c>
    </row>
    <row r="242">
      <c r="A242" t="inlineStr">
        <is>
          <t>2025-12-11</t>
        </is>
      </c>
      <c r="B242" t="inlineStr">
        <is>
          <t>S02</t>
        </is>
      </c>
      <c r="C242" t="inlineStr">
        <is>
          <t>poultry</t>
        </is>
      </c>
      <c r="D242" t="inlineStr">
        <is>
          <t>Feeding</t>
        </is>
      </c>
      <c r="E242" t="n">
        <v>8</v>
      </c>
      <c r="F242" t="n">
        <v>0</v>
      </c>
      <c r="G242">
        <f>IFERROR(INDEX('01_STAFF'!$F:$F,MATCH(B242,'01_STAFF'!$A:$A,0))*E242,0)</f>
        <v/>
      </c>
    </row>
    <row r="243">
      <c r="A243" t="inlineStr">
        <is>
          <t>2025-12-11</t>
        </is>
      </c>
      <c r="B243" t="inlineStr">
        <is>
          <t>S03</t>
        </is>
      </c>
      <c r="C243" t="inlineStr">
        <is>
          <t>crops</t>
        </is>
      </c>
      <c r="D243" t="inlineStr">
        <is>
          <t>Weeding</t>
        </is>
      </c>
      <c r="E243" t="n">
        <v>8</v>
      </c>
      <c r="F243" t="n">
        <v>0</v>
      </c>
      <c r="G243">
        <f>IFERROR(INDEX('01_STAFF'!$F:$F,MATCH(B243,'01_STAFF'!$A:$A,0))*E243,0)</f>
        <v/>
      </c>
    </row>
    <row r="244">
      <c r="A244" t="inlineStr">
        <is>
          <t>2025-12-11</t>
        </is>
      </c>
      <c r="B244" t="inlineStr">
        <is>
          <t>S04</t>
        </is>
      </c>
      <c r="C244" t="inlineStr">
        <is>
          <t>shared</t>
        </is>
      </c>
      <c r="D244" t="inlineStr">
        <is>
          <t>Vaccination</t>
        </is>
      </c>
      <c r="E244" t="n">
        <v>5</v>
      </c>
      <c r="F244" t="n">
        <v>0</v>
      </c>
      <c r="G244">
        <f>IFERROR(INDEX('01_STAFF'!$F:$F,MATCH(B244,'01_STAFF'!$A:$A,0))*E244,0)</f>
        <v/>
      </c>
    </row>
    <row r="245">
      <c r="A245" t="inlineStr">
        <is>
          <t>2025-12-12</t>
        </is>
      </c>
      <c r="B245" t="inlineStr">
        <is>
          <t>S01</t>
        </is>
      </c>
      <c r="C245" t="inlineStr">
        <is>
          <t>piggery</t>
        </is>
      </c>
      <c r="D245" t="inlineStr">
        <is>
          <t>Cleaning</t>
        </is>
      </c>
      <c r="E245" t="n">
        <v>8</v>
      </c>
      <c r="F245" t="n">
        <v>0</v>
      </c>
      <c r="G245">
        <f>IFERROR(INDEX('01_STAFF'!$F:$F,MATCH(B245,'01_STAFF'!$A:$A,0))*E245,0)</f>
        <v/>
      </c>
    </row>
    <row r="246">
      <c r="A246" t="inlineStr">
        <is>
          <t>2025-12-12</t>
        </is>
      </c>
      <c r="B246" t="inlineStr">
        <is>
          <t>S02</t>
        </is>
      </c>
      <c r="C246" t="inlineStr">
        <is>
          <t>poultry</t>
        </is>
      </c>
      <c r="D246" t="inlineStr">
        <is>
          <t>Cleaning</t>
        </is>
      </c>
      <c r="E246" t="n">
        <v>8</v>
      </c>
      <c r="F246" t="n">
        <v>0</v>
      </c>
      <c r="G246">
        <f>IFERROR(INDEX('01_STAFF'!$F:$F,MATCH(B246,'01_STAFF'!$A:$A,0))*E246,0)</f>
        <v/>
      </c>
    </row>
    <row r="247">
      <c r="A247" t="inlineStr">
        <is>
          <t>2025-12-12</t>
        </is>
      </c>
      <c r="B247" t="inlineStr">
        <is>
          <t>S03</t>
        </is>
      </c>
      <c r="C247" t="inlineStr">
        <is>
          <t>crops</t>
        </is>
      </c>
      <c r="D247" t="inlineStr">
        <is>
          <t>Harvest</t>
        </is>
      </c>
      <c r="E247" t="n">
        <v>8</v>
      </c>
      <c r="F247" t="n">
        <v>0</v>
      </c>
      <c r="G247">
        <f>IFERROR(INDEX('01_STAFF'!$F:$F,MATCH(B247,'01_STAFF'!$A:$A,0))*E247,0)</f>
        <v/>
      </c>
    </row>
    <row r="248">
      <c r="A248" t="inlineStr">
        <is>
          <t>2025-12-12</t>
        </is>
      </c>
      <c r="B248" t="inlineStr">
        <is>
          <t>S04</t>
        </is>
      </c>
      <c r="C248" t="inlineStr">
        <is>
          <t>shared</t>
        </is>
      </c>
      <c r="D248" t="inlineStr">
        <is>
          <t>Maintenance</t>
        </is>
      </c>
      <c r="E248" t="n">
        <v>6</v>
      </c>
      <c r="F248" t="n">
        <v>1</v>
      </c>
      <c r="G248">
        <f>IFERROR(INDEX('01_STAFF'!$F:$F,MATCH(B248,'01_STAFF'!$A:$A,0))*E248,0)</f>
        <v/>
      </c>
    </row>
    <row r="249">
      <c r="A249" t="inlineStr">
        <is>
          <t>2025-12-13</t>
        </is>
      </c>
      <c r="B249" t="inlineStr">
        <is>
          <t>S01</t>
        </is>
      </c>
      <c r="C249" t="inlineStr">
        <is>
          <t>piggery</t>
        </is>
      </c>
      <c r="D249" t="inlineStr">
        <is>
          <t>Cleaning</t>
        </is>
      </c>
      <c r="E249" t="n">
        <v>8</v>
      </c>
      <c r="F249" t="n">
        <v>0</v>
      </c>
      <c r="G249">
        <f>IFERROR(INDEX('01_STAFF'!$F:$F,MATCH(B249,'01_STAFF'!$A:$A,0))*E249,0)</f>
        <v/>
      </c>
    </row>
    <row r="250">
      <c r="A250" t="inlineStr">
        <is>
          <t>2025-12-13</t>
        </is>
      </c>
      <c r="B250" t="inlineStr">
        <is>
          <t>S02</t>
        </is>
      </c>
      <c r="C250" t="inlineStr">
        <is>
          <t>poultry</t>
        </is>
      </c>
      <c r="D250" t="inlineStr">
        <is>
          <t>Vaccination</t>
        </is>
      </c>
      <c r="E250" t="n">
        <v>8</v>
      </c>
      <c r="F250" t="n">
        <v>0</v>
      </c>
      <c r="G250">
        <f>IFERROR(INDEX('01_STAFF'!$F:$F,MATCH(B250,'01_STAFF'!$A:$A,0))*E250,0)</f>
        <v/>
      </c>
    </row>
    <row r="251">
      <c r="A251" t="inlineStr">
        <is>
          <t>2025-12-13</t>
        </is>
      </c>
      <c r="B251" t="inlineStr">
        <is>
          <t>S03</t>
        </is>
      </c>
      <c r="C251" t="inlineStr">
        <is>
          <t>crops</t>
        </is>
      </c>
      <c r="D251" t="inlineStr">
        <is>
          <t>Harvest</t>
        </is>
      </c>
      <c r="E251" t="n">
        <v>8</v>
      </c>
      <c r="F251" t="n">
        <v>0</v>
      </c>
      <c r="G251">
        <f>IFERROR(INDEX('01_STAFF'!$F:$F,MATCH(B251,'01_STAFF'!$A:$A,0))*E251,0)</f>
        <v/>
      </c>
    </row>
    <row r="252">
      <c r="A252" t="inlineStr">
        <is>
          <t>2025-12-13</t>
        </is>
      </c>
      <c r="B252" t="inlineStr">
        <is>
          <t>S04</t>
        </is>
      </c>
      <c r="C252" t="inlineStr">
        <is>
          <t>shared</t>
        </is>
      </c>
      <c r="D252" t="inlineStr">
        <is>
          <t>Vaccination</t>
        </is>
      </c>
      <c r="E252" t="n">
        <v>5</v>
      </c>
      <c r="F252" t="n">
        <v>0</v>
      </c>
      <c r="G252">
        <f>IFERROR(INDEX('01_STAFF'!$F:$F,MATCH(B252,'01_STAFF'!$A:$A,0))*E252,0)</f>
        <v/>
      </c>
    </row>
    <row r="253">
      <c r="A253" t="inlineStr">
        <is>
          <t>2025-12-15</t>
        </is>
      </c>
      <c r="B253" t="inlineStr">
        <is>
          <t>S02</t>
        </is>
      </c>
      <c r="C253" t="inlineStr">
        <is>
          <t>poultry</t>
        </is>
      </c>
      <c r="D253" t="inlineStr">
        <is>
          <t>Vaccination</t>
        </is>
      </c>
      <c r="E253" t="n">
        <v>8</v>
      </c>
      <c r="F253" t="n">
        <v>0</v>
      </c>
      <c r="G253">
        <f>IFERROR(INDEX('01_STAFF'!$F:$F,MATCH(B253,'01_STAFF'!$A:$A,0))*E253,0)</f>
        <v/>
      </c>
    </row>
    <row r="254">
      <c r="A254" t="inlineStr">
        <is>
          <t>2025-12-15</t>
        </is>
      </c>
      <c r="B254" t="inlineStr">
        <is>
          <t>S03</t>
        </is>
      </c>
      <c r="C254" t="inlineStr">
        <is>
          <t>crops</t>
        </is>
      </c>
      <c r="D254" t="inlineStr">
        <is>
          <t>Maintenance</t>
        </is>
      </c>
      <c r="E254" t="n">
        <v>8</v>
      </c>
      <c r="F254" t="n">
        <v>0</v>
      </c>
      <c r="G254">
        <f>IFERROR(INDEX('01_STAFF'!$F:$F,MATCH(B254,'01_STAFF'!$A:$A,0))*E254,0)</f>
        <v/>
      </c>
    </row>
    <row r="255">
      <c r="A255" t="inlineStr">
        <is>
          <t>2025-12-15</t>
        </is>
      </c>
      <c r="B255" t="inlineStr">
        <is>
          <t>S04</t>
        </is>
      </c>
      <c r="C255" t="inlineStr">
        <is>
          <t>shared</t>
        </is>
      </c>
      <c r="D255" t="inlineStr">
        <is>
          <t>Weighing</t>
        </is>
      </c>
      <c r="E255" t="n">
        <v>6</v>
      </c>
      <c r="F255" t="n">
        <v>0</v>
      </c>
      <c r="G255">
        <f>IFERROR(INDEX('01_STAFF'!$F:$F,MATCH(B255,'01_STAFF'!$A:$A,0))*E255,0)</f>
        <v/>
      </c>
    </row>
    <row r="256">
      <c r="A256" t="inlineStr">
        <is>
          <t>2025-12-16</t>
        </is>
      </c>
      <c r="B256" t="inlineStr">
        <is>
          <t>S01</t>
        </is>
      </c>
      <c r="C256" t="inlineStr">
        <is>
          <t>piggery</t>
        </is>
      </c>
      <c r="D256" t="inlineStr">
        <is>
          <t>Feeding</t>
        </is>
      </c>
      <c r="E256" t="n">
        <v>8</v>
      </c>
      <c r="F256" t="n">
        <v>0</v>
      </c>
      <c r="G256">
        <f>IFERROR(INDEX('01_STAFF'!$F:$F,MATCH(B256,'01_STAFF'!$A:$A,0))*E256,0)</f>
        <v/>
      </c>
    </row>
    <row r="257">
      <c r="A257" t="inlineStr">
        <is>
          <t>2025-12-16</t>
        </is>
      </c>
      <c r="B257" t="inlineStr">
        <is>
          <t>S02</t>
        </is>
      </c>
      <c r="C257" t="inlineStr">
        <is>
          <t>poultry</t>
        </is>
      </c>
      <c r="D257" t="inlineStr">
        <is>
          <t>Vaccination</t>
        </is>
      </c>
      <c r="E257" t="n">
        <v>8</v>
      </c>
      <c r="F257" t="n">
        <v>0</v>
      </c>
      <c r="G257">
        <f>IFERROR(INDEX('01_STAFF'!$F:$F,MATCH(B257,'01_STAFF'!$A:$A,0))*E257,0)</f>
        <v/>
      </c>
    </row>
    <row r="258">
      <c r="A258" t="inlineStr">
        <is>
          <t>2025-12-16</t>
        </is>
      </c>
      <c r="B258" t="inlineStr">
        <is>
          <t>S03</t>
        </is>
      </c>
      <c r="C258" t="inlineStr">
        <is>
          <t>crops</t>
        </is>
      </c>
      <c r="D258" t="inlineStr">
        <is>
          <t>Land prep</t>
        </is>
      </c>
      <c r="E258" t="n">
        <v>8</v>
      </c>
      <c r="F258" t="n">
        <v>1</v>
      </c>
      <c r="G258">
        <f>IFERROR(INDEX('01_STAFF'!$F:$F,MATCH(B258,'01_STAFF'!$A:$A,0))*E258,0)</f>
        <v/>
      </c>
    </row>
    <row r="259">
      <c r="A259" t="inlineStr">
        <is>
          <t>2025-12-16</t>
        </is>
      </c>
      <c r="B259" t="inlineStr">
        <is>
          <t>S04</t>
        </is>
      </c>
      <c r="C259" t="inlineStr">
        <is>
          <t>shared</t>
        </is>
      </c>
      <c r="D259" t="inlineStr">
        <is>
          <t>Vaccination</t>
        </is>
      </c>
      <c r="E259" t="n">
        <v>7</v>
      </c>
      <c r="F259" t="n">
        <v>0</v>
      </c>
      <c r="G259">
        <f>IFERROR(INDEX('01_STAFF'!$F:$F,MATCH(B259,'01_STAFF'!$A:$A,0))*E259,0)</f>
        <v/>
      </c>
    </row>
    <row r="260">
      <c r="A260" t="inlineStr">
        <is>
          <t>2025-12-17</t>
        </is>
      </c>
      <c r="B260" t="inlineStr">
        <is>
          <t>S01</t>
        </is>
      </c>
      <c r="C260" t="inlineStr">
        <is>
          <t>piggery</t>
        </is>
      </c>
      <c r="D260" t="inlineStr">
        <is>
          <t>Weighing</t>
        </is>
      </c>
      <c r="E260" t="n">
        <v>8</v>
      </c>
      <c r="F260" t="n">
        <v>0</v>
      </c>
      <c r="G260">
        <f>IFERROR(INDEX('01_STAFF'!$F:$F,MATCH(B260,'01_STAFF'!$A:$A,0))*E260,0)</f>
        <v/>
      </c>
    </row>
    <row r="261">
      <c r="A261" t="inlineStr">
        <is>
          <t>2025-12-17</t>
        </is>
      </c>
      <c r="B261" t="inlineStr">
        <is>
          <t>S02</t>
        </is>
      </c>
      <c r="C261" t="inlineStr">
        <is>
          <t>poultry</t>
        </is>
      </c>
      <c r="D261" t="inlineStr">
        <is>
          <t>Feeding</t>
        </is>
      </c>
      <c r="E261" t="n">
        <v>8</v>
      </c>
      <c r="F261" t="n">
        <v>0</v>
      </c>
      <c r="G261">
        <f>IFERROR(INDEX('01_STAFF'!$F:$F,MATCH(B261,'01_STAFF'!$A:$A,0))*E261,0)</f>
        <v/>
      </c>
    </row>
    <row r="262">
      <c r="A262" t="inlineStr">
        <is>
          <t>2025-12-17</t>
        </is>
      </c>
      <c r="B262" t="inlineStr">
        <is>
          <t>S03</t>
        </is>
      </c>
      <c r="C262" t="inlineStr">
        <is>
          <t>crops</t>
        </is>
      </c>
      <c r="D262" t="inlineStr">
        <is>
          <t>Harvest</t>
        </is>
      </c>
      <c r="E262" t="n">
        <v>8</v>
      </c>
      <c r="F262" t="n">
        <v>0</v>
      </c>
      <c r="G262">
        <f>IFERROR(INDEX('01_STAFF'!$F:$F,MATCH(B262,'01_STAFF'!$A:$A,0))*E262,0)</f>
        <v/>
      </c>
    </row>
    <row r="263">
      <c r="A263" t="inlineStr">
        <is>
          <t>2025-12-17</t>
        </is>
      </c>
      <c r="B263" t="inlineStr">
        <is>
          <t>S04</t>
        </is>
      </c>
      <c r="C263" t="inlineStr">
        <is>
          <t>shared</t>
        </is>
      </c>
      <c r="D263" t="inlineStr">
        <is>
          <t>Marketing</t>
        </is>
      </c>
      <c r="E263" t="n">
        <v>6</v>
      </c>
      <c r="F263" t="n">
        <v>0</v>
      </c>
      <c r="G263">
        <f>IFERROR(INDEX('01_STAFF'!$F:$F,MATCH(B263,'01_STAFF'!$A:$A,0))*E263,0)</f>
        <v/>
      </c>
    </row>
    <row r="264">
      <c r="A264" t="inlineStr">
        <is>
          <t>2025-12-18</t>
        </is>
      </c>
      <c r="B264" t="inlineStr">
        <is>
          <t>S01</t>
        </is>
      </c>
      <c r="C264" t="inlineStr">
        <is>
          <t>piggery</t>
        </is>
      </c>
      <c r="D264" t="inlineStr">
        <is>
          <t>Weighing</t>
        </is>
      </c>
      <c r="E264" t="n">
        <v>8</v>
      </c>
      <c r="F264" t="n">
        <v>0</v>
      </c>
      <c r="G264">
        <f>IFERROR(INDEX('01_STAFF'!$F:$F,MATCH(B264,'01_STAFF'!$A:$A,0))*E264,0)</f>
        <v/>
      </c>
    </row>
    <row r="265">
      <c r="A265" t="inlineStr">
        <is>
          <t>2025-12-18</t>
        </is>
      </c>
      <c r="B265" t="inlineStr">
        <is>
          <t>S02</t>
        </is>
      </c>
      <c r="C265" t="inlineStr">
        <is>
          <t>poultry</t>
        </is>
      </c>
      <c r="D265" t="inlineStr">
        <is>
          <t>Feeding</t>
        </is>
      </c>
      <c r="E265" t="n">
        <v>8</v>
      </c>
      <c r="F265" t="n">
        <v>1</v>
      </c>
      <c r="G265">
        <f>IFERROR(INDEX('01_STAFF'!$F:$F,MATCH(B265,'01_STAFF'!$A:$A,0))*E265,0)</f>
        <v/>
      </c>
    </row>
    <row r="266">
      <c r="A266" t="inlineStr">
        <is>
          <t>2025-12-18</t>
        </is>
      </c>
      <c r="B266" t="inlineStr">
        <is>
          <t>S03</t>
        </is>
      </c>
      <c r="C266" t="inlineStr">
        <is>
          <t>crops</t>
        </is>
      </c>
      <c r="D266" t="inlineStr">
        <is>
          <t>Land prep</t>
        </is>
      </c>
      <c r="E266" t="n">
        <v>8</v>
      </c>
      <c r="F266" t="n">
        <v>0</v>
      </c>
      <c r="G266">
        <f>IFERROR(INDEX('01_STAFF'!$F:$F,MATCH(B266,'01_STAFF'!$A:$A,0))*E266,0)</f>
        <v/>
      </c>
    </row>
    <row r="267">
      <c r="A267" t="inlineStr">
        <is>
          <t>2025-12-18</t>
        </is>
      </c>
      <c r="B267" t="inlineStr">
        <is>
          <t>S04</t>
        </is>
      </c>
      <c r="C267" t="inlineStr">
        <is>
          <t>shared</t>
        </is>
      </c>
      <c r="D267" t="inlineStr">
        <is>
          <t>Vaccination</t>
        </is>
      </c>
      <c r="E267" t="n">
        <v>5</v>
      </c>
      <c r="F267" t="n">
        <v>1</v>
      </c>
      <c r="G267">
        <f>IFERROR(INDEX('01_STAFF'!$F:$F,MATCH(B267,'01_STAFF'!$A:$A,0))*E267,0)</f>
        <v/>
      </c>
    </row>
    <row r="268">
      <c r="A268" t="inlineStr">
        <is>
          <t>2025-12-19</t>
        </is>
      </c>
      <c r="B268" t="inlineStr">
        <is>
          <t>S01</t>
        </is>
      </c>
      <c r="C268" t="inlineStr">
        <is>
          <t>piggery</t>
        </is>
      </c>
      <c r="D268" t="inlineStr">
        <is>
          <t>Feeding</t>
        </is>
      </c>
      <c r="E268" t="n">
        <v>8</v>
      </c>
      <c r="F268" t="n">
        <v>0</v>
      </c>
      <c r="G268">
        <f>IFERROR(INDEX('01_STAFF'!$F:$F,MATCH(B268,'01_STAFF'!$A:$A,0))*E268,0)</f>
        <v/>
      </c>
    </row>
    <row r="269">
      <c r="A269" t="inlineStr">
        <is>
          <t>2025-12-19</t>
        </is>
      </c>
      <c r="B269" t="inlineStr">
        <is>
          <t>S02</t>
        </is>
      </c>
      <c r="C269" t="inlineStr">
        <is>
          <t>poultry</t>
        </is>
      </c>
      <c r="D269" t="inlineStr">
        <is>
          <t>Cleaning</t>
        </is>
      </c>
      <c r="E269" t="n">
        <v>8</v>
      </c>
      <c r="F269" t="n">
        <v>0</v>
      </c>
      <c r="G269">
        <f>IFERROR(INDEX('01_STAFF'!$F:$F,MATCH(B269,'01_STAFF'!$A:$A,0))*E269,0)</f>
        <v/>
      </c>
    </row>
    <row r="270">
      <c r="A270" t="inlineStr">
        <is>
          <t>2025-12-19</t>
        </is>
      </c>
      <c r="B270" t="inlineStr">
        <is>
          <t>S03</t>
        </is>
      </c>
      <c r="C270" t="inlineStr">
        <is>
          <t>crops</t>
        </is>
      </c>
      <c r="D270" t="inlineStr">
        <is>
          <t>Land prep</t>
        </is>
      </c>
      <c r="E270" t="n">
        <v>8</v>
      </c>
      <c r="F270" t="n">
        <v>1</v>
      </c>
      <c r="G270">
        <f>IFERROR(INDEX('01_STAFF'!$F:$F,MATCH(B270,'01_STAFF'!$A:$A,0))*E270,0)</f>
        <v/>
      </c>
    </row>
    <row r="271">
      <c r="A271" t="inlineStr">
        <is>
          <t>2025-12-19</t>
        </is>
      </c>
      <c r="B271" t="inlineStr">
        <is>
          <t>S04</t>
        </is>
      </c>
      <c r="C271" t="inlineStr">
        <is>
          <t>shared</t>
        </is>
      </c>
      <c r="D271" t="inlineStr">
        <is>
          <t>Weighing</t>
        </is>
      </c>
      <c r="E271" t="n">
        <v>6</v>
      </c>
      <c r="F271" t="n">
        <v>0</v>
      </c>
      <c r="G271">
        <f>IFERROR(INDEX('01_STAFF'!$F:$F,MATCH(B271,'01_STAFF'!$A:$A,0))*E271,0)</f>
        <v/>
      </c>
    </row>
    <row r="272">
      <c r="A272" t="inlineStr">
        <is>
          <t>2025-12-20</t>
        </is>
      </c>
      <c r="B272" t="inlineStr">
        <is>
          <t>S01</t>
        </is>
      </c>
      <c r="C272" t="inlineStr">
        <is>
          <t>piggery</t>
        </is>
      </c>
      <c r="D272" t="inlineStr">
        <is>
          <t>Cleaning</t>
        </is>
      </c>
      <c r="E272" t="n">
        <v>8</v>
      </c>
      <c r="F272" t="n">
        <v>0</v>
      </c>
      <c r="G272">
        <f>IFERROR(INDEX('01_STAFF'!$F:$F,MATCH(B272,'01_STAFF'!$A:$A,0))*E272,0)</f>
        <v/>
      </c>
    </row>
    <row r="273">
      <c r="A273" t="inlineStr">
        <is>
          <t>2025-12-20</t>
        </is>
      </c>
      <c r="B273" t="inlineStr">
        <is>
          <t>S02</t>
        </is>
      </c>
      <c r="C273" t="inlineStr">
        <is>
          <t>poultry</t>
        </is>
      </c>
      <c r="D273" t="inlineStr">
        <is>
          <t>Weighing</t>
        </is>
      </c>
      <c r="E273" t="n">
        <v>8</v>
      </c>
      <c r="F273" t="n">
        <v>0</v>
      </c>
      <c r="G273">
        <f>IFERROR(INDEX('01_STAFF'!$F:$F,MATCH(B273,'01_STAFF'!$A:$A,0))*E273,0)</f>
        <v/>
      </c>
    </row>
    <row r="274">
      <c r="A274" t="inlineStr">
        <is>
          <t>2025-12-20</t>
        </is>
      </c>
      <c r="B274" t="inlineStr">
        <is>
          <t>S03</t>
        </is>
      </c>
      <c r="C274" t="inlineStr">
        <is>
          <t>crops</t>
        </is>
      </c>
      <c r="D274" t="inlineStr">
        <is>
          <t>Land prep</t>
        </is>
      </c>
      <c r="E274" t="n">
        <v>8</v>
      </c>
      <c r="F274" t="n">
        <v>0</v>
      </c>
      <c r="G274">
        <f>IFERROR(INDEX('01_STAFF'!$F:$F,MATCH(B274,'01_STAFF'!$A:$A,0))*E274,0)</f>
        <v/>
      </c>
    </row>
    <row r="275">
      <c r="A275" t="inlineStr">
        <is>
          <t>2025-12-20</t>
        </is>
      </c>
      <c r="B275" t="inlineStr">
        <is>
          <t>S04</t>
        </is>
      </c>
      <c r="C275" t="inlineStr">
        <is>
          <t>shared</t>
        </is>
      </c>
      <c r="D275" t="inlineStr">
        <is>
          <t>Vaccination</t>
        </is>
      </c>
      <c r="E275" t="n">
        <v>7</v>
      </c>
      <c r="F275" t="n">
        <v>0</v>
      </c>
      <c r="G275">
        <f>IFERROR(INDEX('01_STAFF'!$F:$F,MATCH(B275,'01_STAFF'!$A:$A,0))*E275,0)</f>
        <v/>
      </c>
    </row>
    <row r="276">
      <c r="A276" t="inlineStr">
        <is>
          <t>2025-12-22</t>
        </is>
      </c>
      <c r="B276" t="inlineStr">
        <is>
          <t>S01</t>
        </is>
      </c>
      <c r="C276" t="inlineStr">
        <is>
          <t>piggery</t>
        </is>
      </c>
      <c r="D276" t="inlineStr">
        <is>
          <t>Weighing</t>
        </is>
      </c>
      <c r="E276" t="n">
        <v>8</v>
      </c>
      <c r="F276" t="n">
        <v>0</v>
      </c>
      <c r="G276">
        <f>IFERROR(INDEX('01_STAFF'!$F:$F,MATCH(B276,'01_STAFF'!$A:$A,0))*E276,0)</f>
        <v/>
      </c>
    </row>
    <row r="277">
      <c r="A277" t="inlineStr">
        <is>
          <t>2025-12-22</t>
        </is>
      </c>
      <c r="B277" t="inlineStr">
        <is>
          <t>S03</t>
        </is>
      </c>
      <c r="C277" t="inlineStr">
        <is>
          <t>crops</t>
        </is>
      </c>
      <c r="D277" t="inlineStr">
        <is>
          <t>Harvest</t>
        </is>
      </c>
      <c r="E277" t="n">
        <v>8</v>
      </c>
      <c r="F277" t="n">
        <v>0</v>
      </c>
      <c r="G277">
        <f>IFERROR(INDEX('01_STAFF'!$F:$F,MATCH(B277,'01_STAFF'!$A:$A,0))*E277,0)</f>
        <v/>
      </c>
    </row>
    <row r="278">
      <c r="A278" t="inlineStr">
        <is>
          <t>2025-12-22</t>
        </is>
      </c>
      <c r="B278" t="inlineStr">
        <is>
          <t>S04</t>
        </is>
      </c>
      <c r="C278" t="inlineStr">
        <is>
          <t>shared</t>
        </is>
      </c>
      <c r="D278" t="inlineStr">
        <is>
          <t>Vaccination</t>
        </is>
      </c>
      <c r="E278" t="n">
        <v>7</v>
      </c>
      <c r="F278" t="n">
        <v>0</v>
      </c>
      <c r="G278">
        <f>IFERROR(INDEX('01_STAFF'!$F:$F,MATCH(B278,'01_STAFF'!$A:$A,0))*E278,0)</f>
        <v/>
      </c>
    </row>
    <row r="279">
      <c r="A279" t="inlineStr">
        <is>
          <t>2025-12-23</t>
        </is>
      </c>
      <c r="B279" t="inlineStr">
        <is>
          <t>S01</t>
        </is>
      </c>
      <c r="C279" t="inlineStr">
        <is>
          <t>piggery</t>
        </is>
      </c>
      <c r="D279" t="inlineStr">
        <is>
          <t>Vaccination</t>
        </is>
      </c>
      <c r="E279" t="n">
        <v>8</v>
      </c>
      <c r="F279" t="n">
        <v>0</v>
      </c>
      <c r="G279">
        <f>IFERROR(INDEX('01_STAFF'!$F:$F,MATCH(B279,'01_STAFF'!$A:$A,0))*E279,0)</f>
        <v/>
      </c>
    </row>
    <row r="280">
      <c r="A280" t="inlineStr">
        <is>
          <t>2025-12-23</t>
        </is>
      </c>
      <c r="B280" t="inlineStr">
        <is>
          <t>S02</t>
        </is>
      </c>
      <c r="C280" t="inlineStr">
        <is>
          <t>poultry</t>
        </is>
      </c>
      <c r="D280" t="inlineStr">
        <is>
          <t>Vaccination</t>
        </is>
      </c>
      <c r="E280" t="n">
        <v>8</v>
      </c>
      <c r="F280" t="n">
        <v>0</v>
      </c>
      <c r="G280">
        <f>IFERROR(INDEX('01_STAFF'!$F:$F,MATCH(B280,'01_STAFF'!$A:$A,0))*E280,0)</f>
        <v/>
      </c>
    </row>
    <row r="281">
      <c r="A281" t="inlineStr">
        <is>
          <t>2025-12-23</t>
        </is>
      </c>
      <c r="B281" t="inlineStr">
        <is>
          <t>S03</t>
        </is>
      </c>
      <c r="C281" t="inlineStr">
        <is>
          <t>crops</t>
        </is>
      </c>
      <c r="D281" t="inlineStr">
        <is>
          <t>Weeding</t>
        </is>
      </c>
      <c r="E281" t="n">
        <v>8</v>
      </c>
      <c r="F281" t="n">
        <v>0</v>
      </c>
      <c r="G281">
        <f>IFERROR(INDEX('01_STAFF'!$F:$F,MATCH(B281,'01_STAFF'!$A:$A,0))*E281,0)</f>
        <v/>
      </c>
    </row>
    <row r="282">
      <c r="A282" t="inlineStr">
        <is>
          <t>2025-12-23</t>
        </is>
      </c>
      <c r="B282" t="inlineStr">
        <is>
          <t>S04</t>
        </is>
      </c>
      <c r="C282" t="inlineStr">
        <is>
          <t>shared</t>
        </is>
      </c>
      <c r="D282" t="inlineStr">
        <is>
          <t>Maintenance</t>
        </is>
      </c>
      <c r="E282" t="n">
        <v>7</v>
      </c>
      <c r="F282" t="n">
        <v>0</v>
      </c>
      <c r="G282">
        <f>IFERROR(INDEX('01_STAFF'!$F:$F,MATCH(B282,'01_STAFF'!$A:$A,0))*E282,0)</f>
        <v/>
      </c>
    </row>
    <row r="283">
      <c r="A283" t="inlineStr">
        <is>
          <t>2025-12-24</t>
        </is>
      </c>
      <c r="B283" t="inlineStr">
        <is>
          <t>S01</t>
        </is>
      </c>
      <c r="C283" t="inlineStr">
        <is>
          <t>piggery</t>
        </is>
      </c>
      <c r="D283" t="inlineStr">
        <is>
          <t>Feeding</t>
        </is>
      </c>
      <c r="E283" t="n">
        <v>8</v>
      </c>
      <c r="F283" t="n">
        <v>1</v>
      </c>
      <c r="G283">
        <f>IFERROR(INDEX('01_STAFF'!$F:$F,MATCH(B283,'01_STAFF'!$A:$A,0))*E283,0)</f>
        <v/>
      </c>
    </row>
    <row r="284">
      <c r="A284" t="inlineStr">
        <is>
          <t>2025-12-24</t>
        </is>
      </c>
      <c r="B284" t="inlineStr">
        <is>
          <t>S02</t>
        </is>
      </c>
      <c r="C284" t="inlineStr">
        <is>
          <t>poultry</t>
        </is>
      </c>
      <c r="D284" t="inlineStr">
        <is>
          <t>Vaccination</t>
        </is>
      </c>
      <c r="E284" t="n">
        <v>8</v>
      </c>
      <c r="F284" t="n">
        <v>1</v>
      </c>
      <c r="G284">
        <f>IFERROR(INDEX('01_STAFF'!$F:$F,MATCH(B284,'01_STAFF'!$A:$A,0))*E284,0)</f>
        <v/>
      </c>
    </row>
    <row r="285">
      <c r="A285" t="inlineStr">
        <is>
          <t>2025-12-24</t>
        </is>
      </c>
      <c r="B285" t="inlineStr">
        <is>
          <t>S03</t>
        </is>
      </c>
      <c r="C285" t="inlineStr">
        <is>
          <t>crops</t>
        </is>
      </c>
      <c r="D285" t="inlineStr">
        <is>
          <t>Land prep</t>
        </is>
      </c>
      <c r="E285" t="n">
        <v>8</v>
      </c>
      <c r="F285" t="n">
        <v>0</v>
      </c>
      <c r="G285">
        <f>IFERROR(INDEX('01_STAFF'!$F:$F,MATCH(B285,'01_STAFF'!$A:$A,0))*E285,0)</f>
        <v/>
      </c>
    </row>
    <row r="286">
      <c r="A286" t="inlineStr">
        <is>
          <t>2025-12-24</t>
        </is>
      </c>
      <c r="B286" t="inlineStr">
        <is>
          <t>S04</t>
        </is>
      </c>
      <c r="C286" t="inlineStr">
        <is>
          <t>shared</t>
        </is>
      </c>
      <c r="D286" t="inlineStr">
        <is>
          <t>Vaccination</t>
        </is>
      </c>
      <c r="E286" t="n">
        <v>5</v>
      </c>
      <c r="F286" t="n">
        <v>0</v>
      </c>
      <c r="G286">
        <f>IFERROR(INDEX('01_STAFF'!$F:$F,MATCH(B286,'01_STAFF'!$A:$A,0))*E286,0)</f>
        <v/>
      </c>
    </row>
    <row r="287">
      <c r="A287" t="inlineStr">
        <is>
          <t>2025-12-25</t>
        </is>
      </c>
      <c r="B287" t="inlineStr">
        <is>
          <t>S01</t>
        </is>
      </c>
      <c r="C287" t="inlineStr">
        <is>
          <t>piggery</t>
        </is>
      </c>
      <c r="D287" t="inlineStr">
        <is>
          <t>Feeding</t>
        </is>
      </c>
      <c r="E287" t="n">
        <v>8</v>
      </c>
      <c r="F287" t="n">
        <v>0</v>
      </c>
      <c r="G287">
        <f>IFERROR(INDEX('01_STAFF'!$F:$F,MATCH(B287,'01_STAFF'!$A:$A,0))*E287,0)</f>
        <v/>
      </c>
    </row>
    <row r="288">
      <c r="A288" t="inlineStr">
        <is>
          <t>2025-12-25</t>
        </is>
      </c>
      <c r="B288" t="inlineStr">
        <is>
          <t>S02</t>
        </is>
      </c>
      <c r="C288" t="inlineStr">
        <is>
          <t>poultry</t>
        </is>
      </c>
      <c r="D288" t="inlineStr">
        <is>
          <t>Vaccination</t>
        </is>
      </c>
      <c r="E288" t="n">
        <v>8</v>
      </c>
      <c r="F288" t="n">
        <v>0</v>
      </c>
      <c r="G288">
        <f>IFERROR(INDEX('01_STAFF'!$F:$F,MATCH(B288,'01_STAFF'!$A:$A,0))*E288,0)</f>
        <v/>
      </c>
    </row>
    <row r="289">
      <c r="A289" t="inlineStr">
        <is>
          <t>2025-12-25</t>
        </is>
      </c>
      <c r="B289" t="inlineStr">
        <is>
          <t>S03</t>
        </is>
      </c>
      <c r="C289" t="inlineStr">
        <is>
          <t>crops</t>
        </is>
      </c>
      <c r="D289" t="inlineStr">
        <is>
          <t>Land prep</t>
        </is>
      </c>
      <c r="E289" t="n">
        <v>8</v>
      </c>
      <c r="F289" t="n">
        <v>0</v>
      </c>
      <c r="G289">
        <f>IFERROR(INDEX('01_STAFF'!$F:$F,MATCH(B289,'01_STAFF'!$A:$A,0))*E289,0)</f>
        <v/>
      </c>
    </row>
    <row r="290">
      <c r="A290" t="inlineStr">
        <is>
          <t>2025-12-26</t>
        </is>
      </c>
      <c r="B290" t="inlineStr">
        <is>
          <t>S01</t>
        </is>
      </c>
      <c r="C290" t="inlineStr">
        <is>
          <t>piggery</t>
        </is>
      </c>
      <c r="D290" t="inlineStr">
        <is>
          <t>Vaccination</t>
        </is>
      </c>
      <c r="E290" t="n">
        <v>8</v>
      </c>
      <c r="F290" t="n">
        <v>0</v>
      </c>
      <c r="G290">
        <f>IFERROR(INDEX('01_STAFF'!$F:$F,MATCH(B290,'01_STAFF'!$A:$A,0))*E290,0)</f>
        <v/>
      </c>
    </row>
    <row r="291">
      <c r="A291" t="inlineStr">
        <is>
          <t>2025-12-26</t>
        </is>
      </c>
      <c r="B291" t="inlineStr">
        <is>
          <t>S02</t>
        </is>
      </c>
      <c r="C291" t="inlineStr">
        <is>
          <t>poultry</t>
        </is>
      </c>
      <c r="D291" t="inlineStr">
        <is>
          <t>Weighing</t>
        </is>
      </c>
      <c r="E291" t="n">
        <v>8</v>
      </c>
      <c r="F291" t="n">
        <v>0</v>
      </c>
      <c r="G291">
        <f>IFERROR(INDEX('01_STAFF'!$F:$F,MATCH(B291,'01_STAFF'!$A:$A,0))*E291,0)</f>
        <v/>
      </c>
    </row>
    <row r="292">
      <c r="A292" t="inlineStr">
        <is>
          <t>2025-12-26</t>
        </is>
      </c>
      <c r="B292" t="inlineStr">
        <is>
          <t>S03</t>
        </is>
      </c>
      <c r="C292" t="inlineStr">
        <is>
          <t>crops</t>
        </is>
      </c>
      <c r="D292" t="inlineStr">
        <is>
          <t>Land prep</t>
        </is>
      </c>
      <c r="E292" t="n">
        <v>8</v>
      </c>
      <c r="F292" t="n">
        <v>0</v>
      </c>
      <c r="G292">
        <f>IFERROR(INDEX('01_STAFF'!$F:$F,MATCH(B292,'01_STAFF'!$A:$A,0))*E292,0)</f>
        <v/>
      </c>
    </row>
    <row r="293">
      <c r="A293" t="inlineStr">
        <is>
          <t>2025-12-26</t>
        </is>
      </c>
      <c r="B293" t="inlineStr">
        <is>
          <t>S04</t>
        </is>
      </c>
      <c r="C293" t="inlineStr">
        <is>
          <t>shared</t>
        </is>
      </c>
      <c r="D293" t="inlineStr">
        <is>
          <t>Maintenance</t>
        </is>
      </c>
      <c r="E293" t="n">
        <v>6</v>
      </c>
      <c r="F293" t="n">
        <v>0</v>
      </c>
      <c r="G293">
        <f>IFERROR(INDEX('01_STAFF'!$F:$F,MATCH(B293,'01_STAFF'!$A:$A,0))*E293,0)</f>
        <v/>
      </c>
    </row>
    <row r="294">
      <c r="A294" t="inlineStr">
        <is>
          <t>2025-12-27</t>
        </is>
      </c>
      <c r="B294" t="inlineStr">
        <is>
          <t>S01</t>
        </is>
      </c>
      <c r="C294" t="inlineStr">
        <is>
          <t>piggery</t>
        </is>
      </c>
      <c r="D294" t="inlineStr">
        <is>
          <t>Vaccination</t>
        </is>
      </c>
      <c r="E294" t="n">
        <v>8</v>
      </c>
      <c r="F294" t="n">
        <v>0</v>
      </c>
      <c r="G294">
        <f>IFERROR(INDEX('01_STAFF'!$F:$F,MATCH(B294,'01_STAFF'!$A:$A,0))*E294,0)</f>
        <v/>
      </c>
    </row>
    <row r="295">
      <c r="A295" t="inlineStr">
        <is>
          <t>2025-12-27</t>
        </is>
      </c>
      <c r="B295" t="inlineStr">
        <is>
          <t>S02</t>
        </is>
      </c>
      <c r="C295" t="inlineStr">
        <is>
          <t>poultry</t>
        </is>
      </c>
      <c r="D295" t="inlineStr">
        <is>
          <t>Cleaning</t>
        </is>
      </c>
      <c r="E295" t="n">
        <v>8</v>
      </c>
      <c r="F295" t="n">
        <v>0</v>
      </c>
      <c r="G295">
        <f>IFERROR(INDEX('01_STAFF'!$F:$F,MATCH(B295,'01_STAFF'!$A:$A,0))*E295,0)</f>
        <v/>
      </c>
    </row>
    <row r="296">
      <c r="A296" t="inlineStr">
        <is>
          <t>2025-12-27</t>
        </is>
      </c>
      <c r="B296" t="inlineStr">
        <is>
          <t>S04</t>
        </is>
      </c>
      <c r="C296" t="inlineStr">
        <is>
          <t>shared</t>
        </is>
      </c>
      <c r="D296" t="inlineStr">
        <is>
          <t>Marketing</t>
        </is>
      </c>
      <c r="E296" t="n">
        <v>6</v>
      </c>
      <c r="F296" t="n">
        <v>0</v>
      </c>
      <c r="G296">
        <f>IFERROR(INDEX('01_STAFF'!$F:$F,MATCH(B296,'01_STAFF'!$A:$A,0))*E296,0)</f>
        <v/>
      </c>
    </row>
    <row r="297">
      <c r="A297" t="inlineStr">
        <is>
          <t>2025-12-28</t>
        </is>
      </c>
      <c r="B297" t="inlineStr">
        <is>
          <t>S01</t>
        </is>
      </c>
      <c r="C297" t="inlineStr">
        <is>
          <t>piggery</t>
        </is>
      </c>
      <c r="D297" t="inlineStr">
        <is>
          <t>Vaccination</t>
        </is>
      </c>
      <c r="E297" t="n">
        <v>8</v>
      </c>
      <c r="F297" t="n">
        <v>1</v>
      </c>
      <c r="G297">
        <f>IFERROR(INDEX('01_STAFF'!$F:$F,MATCH(B297,'01_STAFF'!$A:$A,0))*E297,0)</f>
        <v/>
      </c>
    </row>
    <row r="298">
      <c r="A298" t="inlineStr">
        <is>
          <t>2025-12-28</t>
        </is>
      </c>
      <c r="B298" t="inlineStr">
        <is>
          <t>S02</t>
        </is>
      </c>
      <c r="C298" t="inlineStr">
        <is>
          <t>poultry</t>
        </is>
      </c>
      <c r="D298" t="inlineStr">
        <is>
          <t>Cleaning</t>
        </is>
      </c>
      <c r="E298" t="n">
        <v>8</v>
      </c>
      <c r="F298" t="n">
        <v>0</v>
      </c>
      <c r="G298">
        <f>IFERROR(INDEX('01_STAFF'!$F:$F,MATCH(B298,'01_STAFF'!$A:$A,0))*E298,0)</f>
        <v/>
      </c>
    </row>
    <row r="299">
      <c r="A299" t="inlineStr">
        <is>
          <t>2025-12-28</t>
        </is>
      </c>
      <c r="B299" t="inlineStr">
        <is>
          <t>S03</t>
        </is>
      </c>
      <c r="C299" t="inlineStr">
        <is>
          <t>crops</t>
        </is>
      </c>
      <c r="D299" t="inlineStr">
        <is>
          <t>Maintenance</t>
        </is>
      </c>
      <c r="E299" t="n">
        <v>8</v>
      </c>
      <c r="F299" t="n">
        <v>0</v>
      </c>
      <c r="G299">
        <f>IFERROR(INDEX('01_STAFF'!$F:$F,MATCH(B299,'01_STAFF'!$A:$A,0))*E299,0)</f>
        <v/>
      </c>
    </row>
    <row r="300">
      <c r="A300" t="inlineStr">
        <is>
          <t>2025-12-28</t>
        </is>
      </c>
      <c r="B300" t="inlineStr">
        <is>
          <t>S04</t>
        </is>
      </c>
      <c r="C300" t="inlineStr">
        <is>
          <t>shared</t>
        </is>
      </c>
      <c r="D300" t="inlineStr">
        <is>
          <t>Vaccination</t>
        </is>
      </c>
      <c r="E300" t="n">
        <v>6</v>
      </c>
      <c r="F300" t="n">
        <v>0</v>
      </c>
      <c r="G300">
        <f>IFERROR(INDEX('01_STAFF'!$F:$F,MATCH(B300,'01_STAFF'!$A:$A,0))*E300,0)</f>
        <v/>
      </c>
    </row>
    <row r="301">
      <c r="A301" t="inlineStr">
        <is>
          <t>2025-12-29</t>
        </is>
      </c>
      <c r="B301" t="inlineStr">
        <is>
          <t>S01</t>
        </is>
      </c>
      <c r="C301" t="inlineStr">
        <is>
          <t>piggery</t>
        </is>
      </c>
      <c r="D301" t="inlineStr">
        <is>
          <t>Feeding</t>
        </is>
      </c>
      <c r="E301" t="n">
        <v>8</v>
      </c>
      <c r="F301" t="n">
        <v>1</v>
      </c>
      <c r="G301">
        <f>IFERROR(INDEX('01_STAFF'!$F:$F,MATCH(B301,'01_STAFF'!$A:$A,0))*E301,0)</f>
        <v/>
      </c>
    </row>
    <row r="302">
      <c r="A302" t="inlineStr">
        <is>
          <t>2025-12-29</t>
        </is>
      </c>
      <c r="B302" t="inlineStr">
        <is>
          <t>S03</t>
        </is>
      </c>
      <c r="C302" t="inlineStr">
        <is>
          <t>crops</t>
        </is>
      </c>
      <c r="D302" t="inlineStr">
        <is>
          <t>Land prep</t>
        </is>
      </c>
      <c r="E302" t="n">
        <v>8</v>
      </c>
      <c r="F302" t="n">
        <v>0</v>
      </c>
      <c r="G302">
        <f>IFERROR(INDEX('01_STAFF'!$F:$F,MATCH(B302,'01_STAFF'!$A:$A,0))*E302,0)</f>
        <v/>
      </c>
    </row>
    <row r="303">
      <c r="A303" t="inlineStr">
        <is>
          <t>2025-12-29</t>
        </is>
      </c>
      <c r="B303" t="inlineStr">
        <is>
          <t>S04</t>
        </is>
      </c>
      <c r="C303" t="inlineStr">
        <is>
          <t>shared</t>
        </is>
      </c>
      <c r="D303" t="inlineStr">
        <is>
          <t>Weighing</t>
        </is>
      </c>
      <c r="E303" t="n">
        <v>7</v>
      </c>
      <c r="F303" t="n">
        <v>0</v>
      </c>
      <c r="G303">
        <f>IFERROR(INDEX('01_STAFF'!$F:$F,MATCH(B303,'01_STAFF'!$A:$A,0))*E303,0)</f>
        <v/>
      </c>
    </row>
    <row r="304">
      <c r="A304" t="inlineStr">
        <is>
          <t>2025-12-30</t>
        </is>
      </c>
      <c r="B304" t="inlineStr">
        <is>
          <t>S01</t>
        </is>
      </c>
      <c r="C304" t="inlineStr">
        <is>
          <t>piggery</t>
        </is>
      </c>
      <c r="D304" t="inlineStr">
        <is>
          <t>Cleaning</t>
        </is>
      </c>
      <c r="E304" t="n">
        <v>8</v>
      </c>
      <c r="F304" t="n">
        <v>0</v>
      </c>
      <c r="G304">
        <f>IFERROR(INDEX('01_STAFF'!$F:$F,MATCH(B304,'01_STAFF'!$A:$A,0))*E304,0)</f>
        <v/>
      </c>
    </row>
    <row r="305">
      <c r="A305" t="inlineStr">
        <is>
          <t>2025-12-30</t>
        </is>
      </c>
      <c r="B305" t="inlineStr">
        <is>
          <t>S03</t>
        </is>
      </c>
      <c r="C305" t="inlineStr">
        <is>
          <t>crops</t>
        </is>
      </c>
      <c r="D305" t="inlineStr">
        <is>
          <t>Land prep</t>
        </is>
      </c>
      <c r="E305" t="n">
        <v>8</v>
      </c>
      <c r="F305" t="n">
        <v>0</v>
      </c>
      <c r="G305">
        <f>IFERROR(INDEX('01_STAFF'!$F:$F,MATCH(B305,'01_STAFF'!$A:$A,0))*E305,0)</f>
        <v/>
      </c>
    </row>
    <row r="306">
      <c r="A306" t="inlineStr">
        <is>
          <t>2025-12-30</t>
        </is>
      </c>
      <c r="B306" t="inlineStr">
        <is>
          <t>S04</t>
        </is>
      </c>
      <c r="C306" t="inlineStr">
        <is>
          <t>shared</t>
        </is>
      </c>
      <c r="D306" t="inlineStr">
        <is>
          <t>Maintenance</t>
        </is>
      </c>
      <c r="E306" t="n">
        <v>5</v>
      </c>
      <c r="F306" t="n">
        <v>0</v>
      </c>
      <c r="G306">
        <f>IFERROR(INDEX('01_STAFF'!$F:$F,MATCH(B306,'01_STAFF'!$A:$A,0))*E306,0)</f>
        <v/>
      </c>
    </row>
    <row r="307">
      <c r="A307" t="inlineStr">
        <is>
          <t>2025-12-31</t>
        </is>
      </c>
      <c r="B307" t="inlineStr">
        <is>
          <t>S02</t>
        </is>
      </c>
      <c r="C307" t="inlineStr">
        <is>
          <t>poultry</t>
        </is>
      </c>
      <c r="D307" t="inlineStr">
        <is>
          <t>Weighing</t>
        </is>
      </c>
      <c r="E307" t="n">
        <v>8</v>
      </c>
      <c r="F307" t="n">
        <v>0</v>
      </c>
      <c r="G307">
        <f>IFERROR(INDEX('01_STAFF'!$F:$F,MATCH(B307,'01_STAFF'!$A:$A,0))*E307,0)</f>
        <v/>
      </c>
    </row>
    <row r="308">
      <c r="A308" t="inlineStr">
        <is>
          <t>2025-12-31</t>
        </is>
      </c>
      <c r="B308" t="inlineStr">
        <is>
          <t>S03</t>
        </is>
      </c>
      <c r="C308" t="inlineStr">
        <is>
          <t>crops</t>
        </is>
      </c>
      <c r="D308" t="inlineStr">
        <is>
          <t>Maintenance</t>
        </is>
      </c>
      <c r="E308" t="n">
        <v>8</v>
      </c>
      <c r="F308" t="n">
        <v>0</v>
      </c>
      <c r="G308">
        <f>IFERROR(INDEX('01_STAFF'!$F:$F,MATCH(B308,'01_STAFF'!$A:$A,0))*E308,0)</f>
        <v/>
      </c>
    </row>
    <row r="309">
      <c r="A309" t="inlineStr">
        <is>
          <t>2025-12-31</t>
        </is>
      </c>
      <c r="B309" t="inlineStr">
        <is>
          <t>S04</t>
        </is>
      </c>
      <c r="C309" t="inlineStr">
        <is>
          <t>shared</t>
        </is>
      </c>
      <c r="D309" t="inlineStr">
        <is>
          <t>Maintenance</t>
        </is>
      </c>
      <c r="E309" t="n">
        <v>5</v>
      </c>
      <c r="F309" t="n">
        <v>0</v>
      </c>
      <c r="G309">
        <f>IFERROR(INDEX('01_STAFF'!$F:$F,MATCH(B309,'01_STAFF'!$A:$A,0))*E309,0)</f>
        <v/>
      </c>
    </row>
    <row r="310">
      <c r="A310" t="inlineStr">
        <is>
          <t>2026-01-01</t>
        </is>
      </c>
      <c r="B310" t="inlineStr">
        <is>
          <t>S01</t>
        </is>
      </c>
      <c r="C310" t="inlineStr">
        <is>
          <t>piggery</t>
        </is>
      </c>
      <c r="D310" t="inlineStr">
        <is>
          <t>Feeding</t>
        </is>
      </c>
      <c r="E310" t="n">
        <v>8</v>
      </c>
      <c r="F310" t="n">
        <v>0</v>
      </c>
      <c r="G310">
        <f>IFERROR(INDEX('01_STAFF'!$F:$F,MATCH(B310,'01_STAFF'!$A:$A,0))*E310,0)</f>
        <v/>
      </c>
    </row>
    <row r="311">
      <c r="A311" t="inlineStr">
        <is>
          <t>2026-01-01</t>
        </is>
      </c>
      <c r="B311" t="inlineStr">
        <is>
          <t>S02</t>
        </is>
      </c>
      <c r="C311" t="inlineStr">
        <is>
          <t>poultry</t>
        </is>
      </c>
      <c r="D311" t="inlineStr">
        <is>
          <t>Vaccination</t>
        </is>
      </c>
      <c r="E311" t="n">
        <v>8</v>
      </c>
      <c r="F311" t="n">
        <v>0</v>
      </c>
      <c r="G311">
        <f>IFERROR(INDEX('01_STAFF'!$F:$F,MATCH(B311,'01_STAFF'!$A:$A,0))*E311,0)</f>
        <v/>
      </c>
    </row>
    <row r="312">
      <c r="A312" t="inlineStr">
        <is>
          <t>2026-01-01</t>
        </is>
      </c>
      <c r="B312" t="inlineStr">
        <is>
          <t>S03</t>
        </is>
      </c>
      <c r="C312" t="inlineStr">
        <is>
          <t>crops</t>
        </is>
      </c>
      <c r="D312" t="inlineStr">
        <is>
          <t>Maintenance</t>
        </is>
      </c>
      <c r="E312" t="n">
        <v>8</v>
      </c>
      <c r="F312" t="n">
        <v>0</v>
      </c>
      <c r="G312">
        <f>IFERROR(INDEX('01_STAFF'!$F:$F,MATCH(B312,'01_STAFF'!$A:$A,0))*E312,0)</f>
        <v/>
      </c>
    </row>
    <row r="313">
      <c r="A313" t="inlineStr">
        <is>
          <t>2026-01-01</t>
        </is>
      </c>
      <c r="B313" t="inlineStr">
        <is>
          <t>S04</t>
        </is>
      </c>
      <c r="C313" t="inlineStr">
        <is>
          <t>shared</t>
        </is>
      </c>
      <c r="D313" t="inlineStr">
        <is>
          <t>Marketing</t>
        </is>
      </c>
      <c r="E313" t="n">
        <v>7</v>
      </c>
      <c r="F313" t="n">
        <v>0</v>
      </c>
      <c r="G313">
        <f>IFERROR(INDEX('01_STAFF'!$F:$F,MATCH(B313,'01_STAFF'!$A:$A,0))*E313,0)</f>
        <v/>
      </c>
    </row>
    <row r="314">
      <c r="A314" t="inlineStr">
        <is>
          <t>2026-01-02</t>
        </is>
      </c>
      <c r="B314" t="inlineStr">
        <is>
          <t>S01</t>
        </is>
      </c>
      <c r="C314" t="inlineStr">
        <is>
          <t>piggery</t>
        </is>
      </c>
      <c r="D314" t="inlineStr">
        <is>
          <t>Feeding</t>
        </is>
      </c>
      <c r="E314" t="n">
        <v>8</v>
      </c>
      <c r="F314" t="n">
        <v>0</v>
      </c>
      <c r="G314">
        <f>IFERROR(INDEX('01_STAFF'!$F:$F,MATCH(B314,'01_STAFF'!$A:$A,0))*E314,0)</f>
        <v/>
      </c>
    </row>
    <row r="315">
      <c r="A315" t="inlineStr">
        <is>
          <t>2026-01-02</t>
        </is>
      </c>
      <c r="B315" t="inlineStr">
        <is>
          <t>S02</t>
        </is>
      </c>
      <c r="C315" t="inlineStr">
        <is>
          <t>poultry</t>
        </is>
      </c>
      <c r="D315" t="inlineStr">
        <is>
          <t>Cleaning</t>
        </is>
      </c>
      <c r="E315" t="n">
        <v>8</v>
      </c>
      <c r="F315" t="n">
        <v>0</v>
      </c>
      <c r="G315">
        <f>IFERROR(INDEX('01_STAFF'!$F:$F,MATCH(B315,'01_STAFF'!$A:$A,0))*E315,0)</f>
        <v/>
      </c>
    </row>
    <row r="316">
      <c r="A316" t="inlineStr">
        <is>
          <t>2026-01-02</t>
        </is>
      </c>
      <c r="B316" t="inlineStr">
        <is>
          <t>S03</t>
        </is>
      </c>
      <c r="C316" t="inlineStr">
        <is>
          <t>crops</t>
        </is>
      </c>
      <c r="D316" t="inlineStr">
        <is>
          <t>Harvest</t>
        </is>
      </c>
      <c r="E316" t="n">
        <v>8</v>
      </c>
      <c r="F316" t="n">
        <v>0</v>
      </c>
      <c r="G316">
        <f>IFERROR(INDEX('01_STAFF'!$F:$F,MATCH(B316,'01_STAFF'!$A:$A,0))*E316,0)</f>
        <v/>
      </c>
    </row>
    <row r="317">
      <c r="A317" t="inlineStr">
        <is>
          <t>2026-01-02</t>
        </is>
      </c>
      <c r="B317" t="inlineStr">
        <is>
          <t>S04</t>
        </is>
      </c>
      <c r="C317" t="inlineStr">
        <is>
          <t>shared</t>
        </is>
      </c>
      <c r="D317" t="inlineStr">
        <is>
          <t>Marketing</t>
        </is>
      </c>
      <c r="E317" t="n">
        <v>5</v>
      </c>
      <c r="F317" t="n">
        <v>0</v>
      </c>
      <c r="G317">
        <f>IFERROR(INDEX('01_STAFF'!$F:$F,MATCH(B317,'01_STAFF'!$A:$A,0))*E317,0)</f>
        <v/>
      </c>
    </row>
    <row r="318">
      <c r="A318" t="inlineStr">
        <is>
          <t>2026-01-03</t>
        </is>
      </c>
      <c r="B318" t="inlineStr">
        <is>
          <t>S01</t>
        </is>
      </c>
      <c r="C318" t="inlineStr">
        <is>
          <t>piggery</t>
        </is>
      </c>
      <c r="D318" t="inlineStr">
        <is>
          <t>Cleaning</t>
        </is>
      </c>
      <c r="E318" t="n">
        <v>8</v>
      </c>
      <c r="F318" t="n">
        <v>1</v>
      </c>
      <c r="G318">
        <f>IFERROR(INDEX('01_STAFF'!$F:$F,MATCH(B318,'01_STAFF'!$A:$A,0))*E318,0)</f>
        <v/>
      </c>
    </row>
    <row r="319">
      <c r="A319" t="inlineStr">
        <is>
          <t>2026-01-03</t>
        </is>
      </c>
      <c r="B319" t="inlineStr">
        <is>
          <t>S02</t>
        </is>
      </c>
      <c r="C319" t="inlineStr">
        <is>
          <t>poultry</t>
        </is>
      </c>
      <c r="D319" t="inlineStr">
        <is>
          <t>Feeding</t>
        </is>
      </c>
      <c r="E319" t="n">
        <v>8</v>
      </c>
      <c r="F319" t="n">
        <v>1</v>
      </c>
      <c r="G319">
        <f>IFERROR(INDEX('01_STAFF'!$F:$F,MATCH(B319,'01_STAFF'!$A:$A,0))*E319,0)</f>
        <v/>
      </c>
    </row>
    <row r="320">
      <c r="A320" t="inlineStr">
        <is>
          <t>2026-01-03</t>
        </is>
      </c>
      <c r="B320" t="inlineStr">
        <is>
          <t>S03</t>
        </is>
      </c>
      <c r="C320" t="inlineStr">
        <is>
          <t>crops</t>
        </is>
      </c>
      <c r="D320" t="inlineStr">
        <is>
          <t>Maintenance</t>
        </is>
      </c>
      <c r="E320" t="n">
        <v>8</v>
      </c>
      <c r="F320" t="n">
        <v>0</v>
      </c>
      <c r="G320">
        <f>IFERROR(INDEX('01_STAFF'!$F:$F,MATCH(B320,'01_STAFF'!$A:$A,0))*E320,0)</f>
        <v/>
      </c>
    </row>
    <row r="321">
      <c r="A321" t="inlineStr">
        <is>
          <t>2026-01-03</t>
        </is>
      </c>
      <c r="B321" t="inlineStr">
        <is>
          <t>S04</t>
        </is>
      </c>
      <c r="C321" t="inlineStr">
        <is>
          <t>shared</t>
        </is>
      </c>
      <c r="D321" t="inlineStr">
        <is>
          <t>Weighing</t>
        </is>
      </c>
      <c r="E321" t="n">
        <v>6</v>
      </c>
      <c r="F321" t="n">
        <v>0</v>
      </c>
      <c r="G321">
        <f>IFERROR(INDEX('01_STAFF'!$F:$F,MATCH(B321,'01_STAFF'!$A:$A,0))*E321,0)</f>
        <v/>
      </c>
    </row>
    <row r="322">
      <c r="A322" t="inlineStr">
        <is>
          <t>2026-01-05</t>
        </is>
      </c>
      <c r="B322" t="inlineStr">
        <is>
          <t>S01</t>
        </is>
      </c>
      <c r="C322" t="inlineStr">
        <is>
          <t>piggery</t>
        </is>
      </c>
      <c r="D322" t="inlineStr">
        <is>
          <t>Vaccination</t>
        </is>
      </c>
      <c r="E322" t="n">
        <v>8</v>
      </c>
      <c r="F322" t="n">
        <v>0</v>
      </c>
      <c r="G322">
        <f>IFERROR(INDEX('01_STAFF'!$F:$F,MATCH(B322,'01_STAFF'!$A:$A,0))*E322,0)</f>
        <v/>
      </c>
    </row>
    <row r="323">
      <c r="A323" t="inlineStr">
        <is>
          <t>2026-01-05</t>
        </is>
      </c>
      <c r="B323" t="inlineStr">
        <is>
          <t>S02</t>
        </is>
      </c>
      <c r="C323" t="inlineStr">
        <is>
          <t>poultry</t>
        </is>
      </c>
      <c r="D323" t="inlineStr">
        <is>
          <t>Feeding</t>
        </is>
      </c>
      <c r="E323" t="n">
        <v>8</v>
      </c>
      <c r="F323" t="n">
        <v>0</v>
      </c>
      <c r="G323">
        <f>IFERROR(INDEX('01_STAFF'!$F:$F,MATCH(B323,'01_STAFF'!$A:$A,0))*E323,0)</f>
        <v/>
      </c>
    </row>
    <row r="324">
      <c r="A324" t="inlineStr">
        <is>
          <t>2026-01-05</t>
        </is>
      </c>
      <c r="B324" t="inlineStr">
        <is>
          <t>S03</t>
        </is>
      </c>
      <c r="C324" t="inlineStr">
        <is>
          <t>crops</t>
        </is>
      </c>
      <c r="D324" t="inlineStr">
        <is>
          <t>Maintenance</t>
        </is>
      </c>
      <c r="E324" t="n">
        <v>8</v>
      </c>
      <c r="F324" t="n">
        <v>0</v>
      </c>
      <c r="G324">
        <f>IFERROR(INDEX('01_STAFF'!$F:$F,MATCH(B324,'01_STAFF'!$A:$A,0))*E324,0)</f>
        <v/>
      </c>
    </row>
    <row r="325">
      <c r="A325" t="inlineStr">
        <is>
          <t>2026-01-05</t>
        </is>
      </c>
      <c r="B325" t="inlineStr">
        <is>
          <t>S04</t>
        </is>
      </c>
      <c r="C325" t="inlineStr">
        <is>
          <t>shared</t>
        </is>
      </c>
      <c r="D325" t="inlineStr">
        <is>
          <t>Vaccination</t>
        </is>
      </c>
      <c r="E325" t="n">
        <v>6</v>
      </c>
      <c r="F325" t="n">
        <v>1</v>
      </c>
      <c r="G325">
        <f>IFERROR(INDEX('01_STAFF'!$F:$F,MATCH(B325,'01_STAFF'!$A:$A,0))*E325,0)</f>
        <v/>
      </c>
    </row>
    <row r="326">
      <c r="A326" t="inlineStr">
        <is>
          <t>2026-01-06</t>
        </is>
      </c>
      <c r="B326" t="inlineStr">
        <is>
          <t>S01</t>
        </is>
      </c>
      <c r="C326" t="inlineStr">
        <is>
          <t>piggery</t>
        </is>
      </c>
      <c r="D326" t="inlineStr">
        <is>
          <t>Feeding</t>
        </is>
      </c>
      <c r="E326" t="n">
        <v>8</v>
      </c>
      <c r="F326" t="n">
        <v>0</v>
      </c>
      <c r="G326">
        <f>IFERROR(INDEX('01_STAFF'!$F:$F,MATCH(B326,'01_STAFF'!$A:$A,0))*E326,0)</f>
        <v/>
      </c>
    </row>
    <row r="327">
      <c r="A327" t="inlineStr">
        <is>
          <t>2026-01-06</t>
        </is>
      </c>
      <c r="B327" t="inlineStr">
        <is>
          <t>S02</t>
        </is>
      </c>
      <c r="C327" t="inlineStr">
        <is>
          <t>poultry</t>
        </is>
      </c>
      <c r="D327" t="inlineStr">
        <is>
          <t>Weighing</t>
        </is>
      </c>
      <c r="E327" t="n">
        <v>8</v>
      </c>
      <c r="F327" t="n">
        <v>0</v>
      </c>
      <c r="G327">
        <f>IFERROR(INDEX('01_STAFF'!$F:$F,MATCH(B327,'01_STAFF'!$A:$A,0))*E327,0)</f>
        <v/>
      </c>
    </row>
    <row r="328">
      <c r="A328" t="inlineStr">
        <is>
          <t>2026-01-06</t>
        </is>
      </c>
      <c r="B328" t="inlineStr">
        <is>
          <t>S03</t>
        </is>
      </c>
      <c r="C328" t="inlineStr">
        <is>
          <t>crops</t>
        </is>
      </c>
      <c r="D328" t="inlineStr">
        <is>
          <t>Maintenance</t>
        </is>
      </c>
      <c r="E328" t="n">
        <v>8</v>
      </c>
      <c r="F328" t="n">
        <v>0</v>
      </c>
      <c r="G328">
        <f>IFERROR(INDEX('01_STAFF'!$F:$F,MATCH(B328,'01_STAFF'!$A:$A,0))*E328,0)</f>
        <v/>
      </c>
    </row>
    <row r="329">
      <c r="A329" t="inlineStr">
        <is>
          <t>2026-01-06</t>
        </is>
      </c>
      <c r="B329" t="inlineStr">
        <is>
          <t>S04</t>
        </is>
      </c>
      <c r="C329" t="inlineStr">
        <is>
          <t>shared</t>
        </is>
      </c>
      <c r="D329" t="inlineStr">
        <is>
          <t>Marketing</t>
        </is>
      </c>
      <c r="E329" t="n">
        <v>5</v>
      </c>
      <c r="F329" t="n">
        <v>0</v>
      </c>
      <c r="G329">
        <f>IFERROR(INDEX('01_STAFF'!$F:$F,MATCH(B329,'01_STAFF'!$A:$A,0))*E329,0)</f>
        <v/>
      </c>
    </row>
    <row r="330">
      <c r="A330" t="inlineStr">
        <is>
          <t>2026-01-07</t>
        </is>
      </c>
      <c r="B330" t="inlineStr">
        <is>
          <t>S01</t>
        </is>
      </c>
      <c r="C330" t="inlineStr">
        <is>
          <t>piggery</t>
        </is>
      </c>
      <c r="D330" t="inlineStr">
        <is>
          <t>Vaccination</t>
        </is>
      </c>
      <c r="E330" t="n">
        <v>8</v>
      </c>
      <c r="F330" t="n">
        <v>0</v>
      </c>
      <c r="G330">
        <f>IFERROR(INDEX('01_STAFF'!$F:$F,MATCH(B330,'01_STAFF'!$A:$A,0))*E330,0)</f>
        <v/>
      </c>
    </row>
    <row r="331">
      <c r="A331" t="inlineStr">
        <is>
          <t>2026-01-07</t>
        </is>
      </c>
      <c r="B331" t="inlineStr">
        <is>
          <t>S02</t>
        </is>
      </c>
      <c r="C331" t="inlineStr">
        <is>
          <t>poultry</t>
        </is>
      </c>
      <c r="D331" t="inlineStr">
        <is>
          <t>Feeding</t>
        </is>
      </c>
      <c r="E331" t="n">
        <v>8</v>
      </c>
      <c r="F331" t="n">
        <v>1</v>
      </c>
      <c r="G331">
        <f>IFERROR(INDEX('01_STAFF'!$F:$F,MATCH(B331,'01_STAFF'!$A:$A,0))*E331,0)</f>
        <v/>
      </c>
    </row>
    <row r="332">
      <c r="A332" t="inlineStr">
        <is>
          <t>2026-01-07</t>
        </is>
      </c>
      <c r="B332" t="inlineStr">
        <is>
          <t>S03</t>
        </is>
      </c>
      <c r="C332" t="inlineStr">
        <is>
          <t>crops</t>
        </is>
      </c>
      <c r="D332" t="inlineStr">
        <is>
          <t>Weeding</t>
        </is>
      </c>
      <c r="E332" t="n">
        <v>8</v>
      </c>
      <c r="F332" t="n">
        <v>0</v>
      </c>
      <c r="G332">
        <f>IFERROR(INDEX('01_STAFF'!$F:$F,MATCH(B332,'01_STAFF'!$A:$A,0))*E332,0)</f>
        <v/>
      </c>
    </row>
    <row r="333">
      <c r="A333" t="inlineStr">
        <is>
          <t>2026-01-07</t>
        </is>
      </c>
      <c r="B333" t="inlineStr">
        <is>
          <t>S04</t>
        </is>
      </c>
      <c r="C333" t="inlineStr">
        <is>
          <t>shared</t>
        </is>
      </c>
      <c r="D333" t="inlineStr">
        <is>
          <t>Weighing</t>
        </is>
      </c>
      <c r="E333" t="n">
        <v>5</v>
      </c>
      <c r="F333" t="n">
        <v>0</v>
      </c>
      <c r="G333">
        <f>IFERROR(INDEX('01_STAFF'!$F:$F,MATCH(B333,'01_STAFF'!$A:$A,0))*E333,0)</f>
        <v/>
      </c>
    </row>
    <row r="334">
      <c r="A334" t="inlineStr">
        <is>
          <t>2026-01-08</t>
        </is>
      </c>
      <c r="B334" t="inlineStr">
        <is>
          <t>S01</t>
        </is>
      </c>
      <c r="C334" t="inlineStr">
        <is>
          <t>piggery</t>
        </is>
      </c>
      <c r="D334" t="inlineStr">
        <is>
          <t>Cleaning</t>
        </is>
      </c>
      <c r="E334" t="n">
        <v>8</v>
      </c>
      <c r="F334" t="n">
        <v>0</v>
      </c>
      <c r="G334">
        <f>IFERROR(INDEX('01_STAFF'!$F:$F,MATCH(B334,'01_STAFF'!$A:$A,0))*E334,0)</f>
        <v/>
      </c>
    </row>
    <row r="335">
      <c r="A335" t="inlineStr">
        <is>
          <t>2026-01-08</t>
        </is>
      </c>
      <c r="B335" t="inlineStr">
        <is>
          <t>S03</t>
        </is>
      </c>
      <c r="C335" t="inlineStr">
        <is>
          <t>crops</t>
        </is>
      </c>
      <c r="D335" t="inlineStr">
        <is>
          <t>Land prep</t>
        </is>
      </c>
      <c r="E335" t="n">
        <v>8</v>
      </c>
      <c r="F335" t="n">
        <v>0</v>
      </c>
      <c r="G335">
        <f>IFERROR(INDEX('01_STAFF'!$F:$F,MATCH(B335,'01_STAFF'!$A:$A,0))*E335,0)</f>
        <v/>
      </c>
    </row>
    <row r="336">
      <c r="A336" t="inlineStr">
        <is>
          <t>2026-01-08</t>
        </is>
      </c>
      <c r="B336" t="inlineStr">
        <is>
          <t>S04</t>
        </is>
      </c>
      <c r="C336" t="inlineStr">
        <is>
          <t>shared</t>
        </is>
      </c>
      <c r="D336" t="inlineStr">
        <is>
          <t>Vaccination</t>
        </is>
      </c>
      <c r="E336" t="n">
        <v>6</v>
      </c>
      <c r="F336" t="n">
        <v>0</v>
      </c>
      <c r="G336">
        <f>IFERROR(INDEX('01_STAFF'!$F:$F,MATCH(B336,'01_STAFF'!$A:$A,0))*E336,0)</f>
        <v/>
      </c>
    </row>
    <row r="337">
      <c r="A337" t="inlineStr">
        <is>
          <t>2026-01-09</t>
        </is>
      </c>
      <c r="B337" t="inlineStr">
        <is>
          <t>S01</t>
        </is>
      </c>
      <c r="C337" t="inlineStr">
        <is>
          <t>piggery</t>
        </is>
      </c>
      <c r="D337" t="inlineStr">
        <is>
          <t>Cleaning</t>
        </is>
      </c>
      <c r="E337" t="n">
        <v>8</v>
      </c>
      <c r="F337" t="n">
        <v>0</v>
      </c>
      <c r="G337">
        <f>IFERROR(INDEX('01_STAFF'!$F:$F,MATCH(B337,'01_STAFF'!$A:$A,0))*E337,0)</f>
        <v/>
      </c>
    </row>
    <row r="338">
      <c r="A338" t="inlineStr">
        <is>
          <t>2026-01-09</t>
        </is>
      </c>
      <c r="B338" t="inlineStr">
        <is>
          <t>S02</t>
        </is>
      </c>
      <c r="C338" t="inlineStr">
        <is>
          <t>poultry</t>
        </is>
      </c>
      <c r="D338" t="inlineStr">
        <is>
          <t>Feeding</t>
        </is>
      </c>
      <c r="E338" t="n">
        <v>8</v>
      </c>
      <c r="F338" t="n">
        <v>0</v>
      </c>
      <c r="G338">
        <f>IFERROR(INDEX('01_STAFF'!$F:$F,MATCH(B338,'01_STAFF'!$A:$A,0))*E338,0)</f>
        <v/>
      </c>
    </row>
    <row r="339">
      <c r="A339" t="inlineStr">
        <is>
          <t>2026-01-09</t>
        </is>
      </c>
      <c r="B339" t="inlineStr">
        <is>
          <t>S03</t>
        </is>
      </c>
      <c r="C339" t="inlineStr">
        <is>
          <t>crops</t>
        </is>
      </c>
      <c r="D339" t="inlineStr">
        <is>
          <t>Weeding</t>
        </is>
      </c>
      <c r="E339" t="n">
        <v>8</v>
      </c>
      <c r="F339" t="n">
        <v>0</v>
      </c>
      <c r="G339">
        <f>IFERROR(INDEX('01_STAFF'!$F:$F,MATCH(B339,'01_STAFF'!$A:$A,0))*E339,0)</f>
        <v/>
      </c>
    </row>
    <row r="340">
      <c r="A340" t="inlineStr">
        <is>
          <t>2026-01-09</t>
        </is>
      </c>
      <c r="B340" t="inlineStr">
        <is>
          <t>S04</t>
        </is>
      </c>
      <c r="C340" t="inlineStr">
        <is>
          <t>shared</t>
        </is>
      </c>
      <c r="D340" t="inlineStr">
        <is>
          <t>Weighing</t>
        </is>
      </c>
      <c r="E340" t="n">
        <v>6</v>
      </c>
      <c r="F340" t="n">
        <v>1</v>
      </c>
      <c r="G340">
        <f>IFERROR(INDEX('01_STAFF'!$F:$F,MATCH(B340,'01_STAFF'!$A:$A,0))*E340,0)</f>
        <v/>
      </c>
    </row>
    <row r="341">
      <c r="A341" t="inlineStr">
        <is>
          <t>2026-01-10</t>
        </is>
      </c>
      <c r="B341" t="inlineStr">
        <is>
          <t>S01</t>
        </is>
      </c>
      <c r="C341" t="inlineStr">
        <is>
          <t>piggery</t>
        </is>
      </c>
      <c r="D341" t="inlineStr">
        <is>
          <t>Cleaning</t>
        </is>
      </c>
      <c r="E341" t="n">
        <v>8</v>
      </c>
      <c r="F341" t="n">
        <v>0</v>
      </c>
      <c r="G341">
        <f>IFERROR(INDEX('01_STAFF'!$F:$F,MATCH(B341,'01_STAFF'!$A:$A,0))*E341,0)</f>
        <v/>
      </c>
    </row>
    <row r="342">
      <c r="A342" t="inlineStr">
        <is>
          <t>2026-01-10</t>
        </is>
      </c>
      <c r="B342" t="inlineStr">
        <is>
          <t>S02</t>
        </is>
      </c>
      <c r="C342" t="inlineStr">
        <is>
          <t>poultry</t>
        </is>
      </c>
      <c r="D342" t="inlineStr">
        <is>
          <t>Vaccination</t>
        </is>
      </c>
      <c r="E342" t="n">
        <v>8</v>
      </c>
      <c r="F342" t="n">
        <v>0</v>
      </c>
      <c r="G342">
        <f>IFERROR(INDEX('01_STAFF'!$F:$F,MATCH(B342,'01_STAFF'!$A:$A,0))*E342,0)</f>
        <v/>
      </c>
    </row>
    <row r="343">
      <c r="A343" t="inlineStr">
        <is>
          <t>2026-01-10</t>
        </is>
      </c>
      <c r="B343" t="inlineStr">
        <is>
          <t>S03</t>
        </is>
      </c>
      <c r="C343" t="inlineStr">
        <is>
          <t>crops</t>
        </is>
      </c>
      <c r="D343" t="inlineStr">
        <is>
          <t>Weeding</t>
        </is>
      </c>
      <c r="E343" t="n">
        <v>8</v>
      </c>
      <c r="F343" t="n">
        <v>0</v>
      </c>
      <c r="G343">
        <f>IFERROR(INDEX('01_STAFF'!$F:$F,MATCH(B343,'01_STAFF'!$A:$A,0))*E343,0)</f>
        <v/>
      </c>
    </row>
    <row r="344">
      <c r="A344" t="inlineStr">
        <is>
          <t>2026-01-10</t>
        </is>
      </c>
      <c r="B344" t="inlineStr">
        <is>
          <t>S04</t>
        </is>
      </c>
      <c r="C344" t="inlineStr">
        <is>
          <t>shared</t>
        </is>
      </c>
      <c r="D344" t="inlineStr">
        <is>
          <t>Marketing</t>
        </is>
      </c>
      <c r="E344" t="n">
        <v>6</v>
      </c>
      <c r="F344" t="n">
        <v>1</v>
      </c>
      <c r="G344">
        <f>IFERROR(INDEX('01_STAFF'!$F:$F,MATCH(B344,'01_STAFF'!$A:$A,0))*E344,0)</f>
        <v/>
      </c>
    </row>
    <row r="345">
      <c r="A345" t="inlineStr">
        <is>
          <t>2026-01-12</t>
        </is>
      </c>
      <c r="B345" t="inlineStr">
        <is>
          <t>S01</t>
        </is>
      </c>
      <c r="C345" t="inlineStr">
        <is>
          <t>piggery</t>
        </is>
      </c>
      <c r="D345" t="inlineStr">
        <is>
          <t>Feeding</t>
        </is>
      </c>
      <c r="E345" t="n">
        <v>8</v>
      </c>
      <c r="F345" t="n">
        <v>0</v>
      </c>
      <c r="G345">
        <f>IFERROR(INDEX('01_STAFF'!$F:$F,MATCH(B345,'01_STAFF'!$A:$A,0))*E345,0)</f>
        <v/>
      </c>
    </row>
    <row r="346">
      <c r="A346" t="inlineStr">
        <is>
          <t>2026-01-12</t>
        </is>
      </c>
      <c r="B346" t="inlineStr">
        <is>
          <t>S02</t>
        </is>
      </c>
      <c r="C346" t="inlineStr">
        <is>
          <t>poultry</t>
        </is>
      </c>
      <c r="D346" t="inlineStr">
        <is>
          <t>Cleaning</t>
        </is>
      </c>
      <c r="E346" t="n">
        <v>8</v>
      </c>
      <c r="F346" t="n">
        <v>0</v>
      </c>
      <c r="G346">
        <f>IFERROR(INDEX('01_STAFF'!$F:$F,MATCH(B346,'01_STAFF'!$A:$A,0))*E346,0)</f>
        <v/>
      </c>
    </row>
    <row r="347">
      <c r="A347" t="inlineStr">
        <is>
          <t>2026-01-12</t>
        </is>
      </c>
      <c r="B347" t="inlineStr">
        <is>
          <t>S03</t>
        </is>
      </c>
      <c r="C347" t="inlineStr">
        <is>
          <t>crops</t>
        </is>
      </c>
      <c r="D347" t="inlineStr">
        <is>
          <t>Spraying</t>
        </is>
      </c>
      <c r="E347" t="n">
        <v>8</v>
      </c>
      <c r="F347" t="n">
        <v>0</v>
      </c>
      <c r="G347">
        <f>IFERROR(INDEX('01_STAFF'!$F:$F,MATCH(B347,'01_STAFF'!$A:$A,0))*E347,0)</f>
        <v/>
      </c>
    </row>
    <row r="348">
      <c r="A348" t="inlineStr">
        <is>
          <t>2026-01-12</t>
        </is>
      </c>
      <c r="B348" t="inlineStr">
        <is>
          <t>S04</t>
        </is>
      </c>
      <c r="C348" t="inlineStr">
        <is>
          <t>shared</t>
        </is>
      </c>
      <c r="D348" t="inlineStr">
        <is>
          <t>Marketing</t>
        </is>
      </c>
      <c r="E348" t="n">
        <v>6</v>
      </c>
      <c r="F348" t="n">
        <v>0</v>
      </c>
      <c r="G348">
        <f>IFERROR(INDEX('01_STAFF'!$F:$F,MATCH(B348,'01_STAFF'!$A:$A,0))*E348,0)</f>
        <v/>
      </c>
    </row>
    <row r="349">
      <c r="A349" t="inlineStr">
        <is>
          <t>2026-01-13</t>
        </is>
      </c>
      <c r="B349" t="inlineStr">
        <is>
          <t>S01</t>
        </is>
      </c>
      <c r="C349" t="inlineStr">
        <is>
          <t>piggery</t>
        </is>
      </c>
      <c r="D349" t="inlineStr">
        <is>
          <t>Vaccination</t>
        </is>
      </c>
      <c r="E349" t="n">
        <v>8</v>
      </c>
      <c r="F349" t="n">
        <v>0</v>
      </c>
      <c r="G349">
        <f>IFERROR(INDEX('01_STAFF'!$F:$F,MATCH(B349,'01_STAFF'!$A:$A,0))*E349,0)</f>
        <v/>
      </c>
    </row>
    <row r="350">
      <c r="A350" t="inlineStr">
        <is>
          <t>2026-01-13</t>
        </is>
      </c>
      <c r="B350" t="inlineStr">
        <is>
          <t>S02</t>
        </is>
      </c>
      <c r="C350" t="inlineStr">
        <is>
          <t>poultry</t>
        </is>
      </c>
      <c r="D350" t="inlineStr">
        <is>
          <t>Cleaning</t>
        </is>
      </c>
      <c r="E350" t="n">
        <v>8</v>
      </c>
      <c r="F350" t="n">
        <v>0</v>
      </c>
      <c r="G350">
        <f>IFERROR(INDEX('01_STAFF'!$F:$F,MATCH(B350,'01_STAFF'!$A:$A,0))*E350,0)</f>
        <v/>
      </c>
    </row>
    <row r="351">
      <c r="A351" t="inlineStr">
        <is>
          <t>2026-01-13</t>
        </is>
      </c>
      <c r="B351" t="inlineStr">
        <is>
          <t>S03</t>
        </is>
      </c>
      <c r="C351" t="inlineStr">
        <is>
          <t>crops</t>
        </is>
      </c>
      <c r="D351" t="inlineStr">
        <is>
          <t>Spraying</t>
        </is>
      </c>
      <c r="E351" t="n">
        <v>8</v>
      </c>
      <c r="F351" t="n">
        <v>1</v>
      </c>
      <c r="G351">
        <f>IFERROR(INDEX('01_STAFF'!$F:$F,MATCH(B351,'01_STAFF'!$A:$A,0))*E351,0)</f>
        <v/>
      </c>
    </row>
    <row r="352">
      <c r="A352" t="inlineStr">
        <is>
          <t>2026-01-13</t>
        </is>
      </c>
      <c r="B352" t="inlineStr">
        <is>
          <t>S04</t>
        </is>
      </c>
      <c r="C352" t="inlineStr">
        <is>
          <t>shared</t>
        </is>
      </c>
      <c r="D352" t="inlineStr">
        <is>
          <t>Marketing</t>
        </is>
      </c>
      <c r="E352" t="n">
        <v>5</v>
      </c>
      <c r="F352" t="n">
        <v>0</v>
      </c>
      <c r="G352">
        <f>IFERROR(INDEX('01_STAFF'!$F:$F,MATCH(B352,'01_STAFF'!$A:$A,0))*E352,0)</f>
        <v/>
      </c>
    </row>
    <row r="353">
      <c r="A353" t="inlineStr">
        <is>
          <t>2026-01-14</t>
        </is>
      </c>
      <c r="B353" t="inlineStr">
        <is>
          <t>S01</t>
        </is>
      </c>
      <c r="C353" t="inlineStr">
        <is>
          <t>piggery</t>
        </is>
      </c>
      <c r="D353" t="inlineStr">
        <is>
          <t>Cleaning</t>
        </is>
      </c>
      <c r="E353" t="n">
        <v>8</v>
      </c>
      <c r="F353" t="n">
        <v>0</v>
      </c>
      <c r="G353">
        <f>IFERROR(INDEX('01_STAFF'!$F:$F,MATCH(B353,'01_STAFF'!$A:$A,0))*E353,0)</f>
        <v/>
      </c>
    </row>
    <row r="354">
      <c r="A354" t="inlineStr">
        <is>
          <t>2026-01-14</t>
        </is>
      </c>
      <c r="B354" t="inlineStr">
        <is>
          <t>S02</t>
        </is>
      </c>
      <c r="C354" t="inlineStr">
        <is>
          <t>poultry</t>
        </is>
      </c>
      <c r="D354" t="inlineStr">
        <is>
          <t>Vaccination</t>
        </is>
      </c>
      <c r="E354" t="n">
        <v>8</v>
      </c>
      <c r="F354" t="n">
        <v>0</v>
      </c>
      <c r="G354">
        <f>IFERROR(INDEX('01_STAFF'!$F:$F,MATCH(B354,'01_STAFF'!$A:$A,0))*E354,0)</f>
        <v/>
      </c>
    </row>
    <row r="355">
      <c r="A355" t="inlineStr">
        <is>
          <t>2026-01-14</t>
        </is>
      </c>
      <c r="B355" t="inlineStr">
        <is>
          <t>S04</t>
        </is>
      </c>
      <c r="C355" t="inlineStr">
        <is>
          <t>shared</t>
        </is>
      </c>
      <c r="D355" t="inlineStr">
        <is>
          <t>Maintenance</t>
        </is>
      </c>
      <c r="E355" t="n">
        <v>6</v>
      </c>
      <c r="F355" t="n">
        <v>0</v>
      </c>
      <c r="G355">
        <f>IFERROR(INDEX('01_STAFF'!$F:$F,MATCH(B355,'01_STAFF'!$A:$A,0))*E355,0)</f>
        <v/>
      </c>
    </row>
    <row r="356">
      <c r="A356" t="inlineStr">
        <is>
          <t>2026-01-15</t>
        </is>
      </c>
      <c r="B356" t="inlineStr">
        <is>
          <t>S01</t>
        </is>
      </c>
      <c r="C356" t="inlineStr">
        <is>
          <t>piggery</t>
        </is>
      </c>
      <c r="D356" t="inlineStr">
        <is>
          <t>Feeding</t>
        </is>
      </c>
      <c r="E356" t="n">
        <v>8</v>
      </c>
      <c r="F356" t="n">
        <v>0</v>
      </c>
      <c r="G356">
        <f>IFERROR(INDEX('01_STAFF'!$F:$F,MATCH(B356,'01_STAFF'!$A:$A,0))*E356,0)</f>
        <v/>
      </c>
    </row>
    <row r="357">
      <c r="A357" t="inlineStr">
        <is>
          <t>2026-01-15</t>
        </is>
      </c>
      <c r="B357" t="inlineStr">
        <is>
          <t>S02</t>
        </is>
      </c>
      <c r="C357" t="inlineStr">
        <is>
          <t>poultry</t>
        </is>
      </c>
      <c r="D357" t="inlineStr">
        <is>
          <t>Feeding</t>
        </is>
      </c>
      <c r="E357" t="n">
        <v>8</v>
      </c>
      <c r="F357" t="n">
        <v>0</v>
      </c>
      <c r="G357">
        <f>IFERROR(INDEX('01_STAFF'!$F:$F,MATCH(B357,'01_STAFF'!$A:$A,0))*E357,0)</f>
        <v/>
      </c>
    </row>
    <row r="358">
      <c r="A358" t="inlineStr">
        <is>
          <t>2026-01-15</t>
        </is>
      </c>
      <c r="B358" t="inlineStr">
        <is>
          <t>S03</t>
        </is>
      </c>
      <c r="C358" t="inlineStr">
        <is>
          <t>crops</t>
        </is>
      </c>
      <c r="D358" t="inlineStr">
        <is>
          <t>Weeding</t>
        </is>
      </c>
      <c r="E358" t="n">
        <v>8</v>
      </c>
      <c r="F358" t="n">
        <v>0</v>
      </c>
      <c r="G358">
        <f>IFERROR(INDEX('01_STAFF'!$F:$F,MATCH(B358,'01_STAFF'!$A:$A,0))*E358,0)</f>
        <v/>
      </c>
    </row>
    <row r="359">
      <c r="A359" t="inlineStr">
        <is>
          <t>2026-01-15</t>
        </is>
      </c>
      <c r="B359" t="inlineStr">
        <is>
          <t>S04</t>
        </is>
      </c>
      <c r="C359" t="inlineStr">
        <is>
          <t>shared</t>
        </is>
      </c>
      <c r="D359" t="inlineStr">
        <is>
          <t>Maintenance</t>
        </is>
      </c>
      <c r="E359" t="n">
        <v>5</v>
      </c>
      <c r="F359" t="n">
        <v>0</v>
      </c>
      <c r="G359">
        <f>IFERROR(INDEX('01_STAFF'!$F:$F,MATCH(B359,'01_STAFF'!$A:$A,0))*E359,0)</f>
        <v/>
      </c>
    </row>
    <row r="360">
      <c r="A360" t="inlineStr">
        <is>
          <t>2026-01-16</t>
        </is>
      </c>
      <c r="B360" t="inlineStr">
        <is>
          <t>S01</t>
        </is>
      </c>
      <c r="C360" t="inlineStr">
        <is>
          <t>piggery</t>
        </is>
      </c>
      <c r="D360" t="inlineStr">
        <is>
          <t>Vaccination</t>
        </is>
      </c>
      <c r="E360" t="n">
        <v>8</v>
      </c>
      <c r="F360" t="n">
        <v>0</v>
      </c>
      <c r="G360">
        <f>IFERROR(INDEX('01_STAFF'!$F:$F,MATCH(B360,'01_STAFF'!$A:$A,0))*E360,0)</f>
        <v/>
      </c>
    </row>
    <row r="361">
      <c r="A361" t="inlineStr">
        <is>
          <t>2026-01-16</t>
        </is>
      </c>
      <c r="B361" t="inlineStr">
        <is>
          <t>S02</t>
        </is>
      </c>
      <c r="C361" t="inlineStr">
        <is>
          <t>poultry</t>
        </is>
      </c>
      <c r="D361" t="inlineStr">
        <is>
          <t>Feeding</t>
        </is>
      </c>
      <c r="E361" t="n">
        <v>8</v>
      </c>
      <c r="F361" t="n">
        <v>0</v>
      </c>
      <c r="G361">
        <f>IFERROR(INDEX('01_STAFF'!$F:$F,MATCH(B361,'01_STAFF'!$A:$A,0))*E361,0)</f>
        <v/>
      </c>
    </row>
    <row r="362">
      <c r="A362" t="inlineStr">
        <is>
          <t>2026-01-16</t>
        </is>
      </c>
      <c r="B362" t="inlineStr">
        <is>
          <t>S03</t>
        </is>
      </c>
      <c r="C362" t="inlineStr">
        <is>
          <t>crops</t>
        </is>
      </c>
      <c r="D362" t="inlineStr">
        <is>
          <t>Weeding</t>
        </is>
      </c>
      <c r="E362" t="n">
        <v>8</v>
      </c>
      <c r="F362" t="n">
        <v>0</v>
      </c>
      <c r="G362">
        <f>IFERROR(INDEX('01_STAFF'!$F:$F,MATCH(B362,'01_STAFF'!$A:$A,0))*E362,0)</f>
        <v/>
      </c>
    </row>
    <row r="363">
      <c r="A363" t="inlineStr">
        <is>
          <t>2026-01-16</t>
        </is>
      </c>
      <c r="B363" t="inlineStr">
        <is>
          <t>S04</t>
        </is>
      </c>
      <c r="C363" t="inlineStr">
        <is>
          <t>shared</t>
        </is>
      </c>
      <c r="D363" t="inlineStr">
        <is>
          <t>Vaccination</t>
        </is>
      </c>
      <c r="E363" t="n">
        <v>6</v>
      </c>
      <c r="F363" t="n">
        <v>0</v>
      </c>
      <c r="G363">
        <f>IFERROR(INDEX('01_STAFF'!$F:$F,MATCH(B363,'01_STAFF'!$A:$A,0))*E363,0)</f>
        <v/>
      </c>
    </row>
    <row r="364">
      <c r="A364" t="inlineStr">
        <is>
          <t>2026-01-17</t>
        </is>
      </c>
      <c r="B364" t="inlineStr">
        <is>
          <t>S02</t>
        </is>
      </c>
      <c r="C364" t="inlineStr">
        <is>
          <t>poultry</t>
        </is>
      </c>
      <c r="D364" t="inlineStr">
        <is>
          <t>Vaccination</t>
        </is>
      </c>
      <c r="E364" t="n">
        <v>8</v>
      </c>
      <c r="F364" t="n">
        <v>0</v>
      </c>
      <c r="G364">
        <f>IFERROR(INDEX('01_STAFF'!$F:$F,MATCH(B364,'01_STAFF'!$A:$A,0))*E364,0)</f>
        <v/>
      </c>
    </row>
    <row r="365">
      <c r="A365" t="inlineStr">
        <is>
          <t>2026-01-17</t>
        </is>
      </c>
      <c r="B365" t="inlineStr">
        <is>
          <t>S03</t>
        </is>
      </c>
      <c r="C365" t="inlineStr">
        <is>
          <t>crops</t>
        </is>
      </c>
      <c r="D365" t="inlineStr">
        <is>
          <t>Land prep</t>
        </is>
      </c>
      <c r="E365" t="n">
        <v>8</v>
      </c>
      <c r="F365" t="n">
        <v>0</v>
      </c>
      <c r="G365">
        <f>IFERROR(INDEX('01_STAFF'!$F:$F,MATCH(B365,'01_STAFF'!$A:$A,0))*E365,0)</f>
        <v/>
      </c>
    </row>
    <row r="366">
      <c r="A366" t="inlineStr">
        <is>
          <t>2026-01-17</t>
        </is>
      </c>
      <c r="B366" t="inlineStr">
        <is>
          <t>S04</t>
        </is>
      </c>
      <c r="C366" t="inlineStr">
        <is>
          <t>shared</t>
        </is>
      </c>
      <c r="D366" t="inlineStr">
        <is>
          <t>Marketing</t>
        </is>
      </c>
      <c r="E366" t="n">
        <v>7</v>
      </c>
      <c r="F366" t="n">
        <v>1</v>
      </c>
      <c r="G366">
        <f>IFERROR(INDEX('01_STAFF'!$F:$F,MATCH(B366,'01_STAFF'!$A:$A,0))*E366,0)</f>
        <v/>
      </c>
    </row>
    <row r="367">
      <c r="A367" t="inlineStr">
        <is>
          <t>2026-01-19</t>
        </is>
      </c>
      <c r="B367" t="inlineStr">
        <is>
          <t>S01</t>
        </is>
      </c>
      <c r="C367" t="inlineStr">
        <is>
          <t>piggery</t>
        </is>
      </c>
      <c r="D367" t="inlineStr">
        <is>
          <t>Feeding</t>
        </is>
      </c>
      <c r="E367" t="n">
        <v>8</v>
      </c>
      <c r="F367" t="n">
        <v>0</v>
      </c>
      <c r="G367">
        <f>IFERROR(INDEX('01_STAFF'!$F:$F,MATCH(B367,'01_STAFF'!$A:$A,0))*E367,0)</f>
        <v/>
      </c>
    </row>
    <row r="368">
      <c r="A368" t="inlineStr">
        <is>
          <t>2026-01-19</t>
        </is>
      </c>
      <c r="B368" t="inlineStr">
        <is>
          <t>S02</t>
        </is>
      </c>
      <c r="C368" t="inlineStr">
        <is>
          <t>poultry</t>
        </is>
      </c>
      <c r="D368" t="inlineStr">
        <is>
          <t>Weighing</t>
        </is>
      </c>
      <c r="E368" t="n">
        <v>8</v>
      </c>
      <c r="F368" t="n">
        <v>0</v>
      </c>
      <c r="G368">
        <f>IFERROR(INDEX('01_STAFF'!$F:$F,MATCH(B368,'01_STAFF'!$A:$A,0))*E368,0)</f>
        <v/>
      </c>
    </row>
    <row r="369">
      <c r="A369" t="inlineStr">
        <is>
          <t>2026-01-19</t>
        </is>
      </c>
      <c r="B369" t="inlineStr">
        <is>
          <t>S03</t>
        </is>
      </c>
      <c r="C369" t="inlineStr">
        <is>
          <t>crops</t>
        </is>
      </c>
      <c r="D369" t="inlineStr">
        <is>
          <t>Spraying</t>
        </is>
      </c>
      <c r="E369" t="n">
        <v>8</v>
      </c>
      <c r="F369" t="n">
        <v>0</v>
      </c>
      <c r="G369">
        <f>IFERROR(INDEX('01_STAFF'!$F:$F,MATCH(B369,'01_STAFF'!$A:$A,0))*E369,0)</f>
        <v/>
      </c>
    </row>
    <row r="370">
      <c r="A370" t="inlineStr">
        <is>
          <t>2026-01-20</t>
        </is>
      </c>
      <c r="B370" t="inlineStr">
        <is>
          <t>S01</t>
        </is>
      </c>
      <c r="C370" t="inlineStr">
        <is>
          <t>piggery</t>
        </is>
      </c>
      <c r="D370" t="inlineStr">
        <is>
          <t>Feeding</t>
        </is>
      </c>
      <c r="E370" t="n">
        <v>8</v>
      </c>
      <c r="F370" t="n">
        <v>0</v>
      </c>
      <c r="G370">
        <f>IFERROR(INDEX('01_STAFF'!$F:$F,MATCH(B370,'01_STAFF'!$A:$A,0))*E370,0)</f>
        <v/>
      </c>
    </row>
    <row r="371">
      <c r="A371" t="inlineStr">
        <is>
          <t>2026-01-20</t>
        </is>
      </c>
      <c r="B371" t="inlineStr">
        <is>
          <t>S02</t>
        </is>
      </c>
      <c r="C371" t="inlineStr">
        <is>
          <t>poultry</t>
        </is>
      </c>
      <c r="D371" t="inlineStr">
        <is>
          <t>Cleaning</t>
        </is>
      </c>
      <c r="E371" t="n">
        <v>8</v>
      </c>
      <c r="F371" t="n">
        <v>0</v>
      </c>
      <c r="G371">
        <f>IFERROR(INDEX('01_STAFF'!$F:$F,MATCH(B371,'01_STAFF'!$A:$A,0))*E371,0)</f>
        <v/>
      </c>
    </row>
    <row r="372">
      <c r="A372" t="inlineStr">
        <is>
          <t>2026-01-20</t>
        </is>
      </c>
      <c r="B372" t="inlineStr">
        <is>
          <t>S03</t>
        </is>
      </c>
      <c r="C372" t="inlineStr">
        <is>
          <t>crops</t>
        </is>
      </c>
      <c r="D372" t="inlineStr">
        <is>
          <t>Land prep</t>
        </is>
      </c>
      <c r="E372" t="n">
        <v>8</v>
      </c>
      <c r="F372" t="n">
        <v>0</v>
      </c>
      <c r="G372">
        <f>IFERROR(INDEX('01_STAFF'!$F:$F,MATCH(B372,'01_STAFF'!$A:$A,0))*E372,0)</f>
        <v/>
      </c>
    </row>
    <row r="373">
      <c r="A373" t="inlineStr">
        <is>
          <t>2026-01-20</t>
        </is>
      </c>
      <c r="B373" t="inlineStr">
        <is>
          <t>S04</t>
        </is>
      </c>
      <c r="C373" t="inlineStr">
        <is>
          <t>shared</t>
        </is>
      </c>
      <c r="D373" t="inlineStr">
        <is>
          <t>Marketing</t>
        </is>
      </c>
      <c r="E373" t="n">
        <v>7</v>
      </c>
      <c r="F373" t="n">
        <v>0</v>
      </c>
      <c r="G373">
        <f>IFERROR(INDEX('01_STAFF'!$F:$F,MATCH(B373,'01_STAFF'!$A:$A,0))*E373,0)</f>
        <v/>
      </c>
    </row>
    <row r="374">
      <c r="A374" t="inlineStr">
        <is>
          <t>2026-01-21</t>
        </is>
      </c>
      <c r="B374" t="inlineStr">
        <is>
          <t>S01</t>
        </is>
      </c>
      <c r="C374" t="inlineStr">
        <is>
          <t>piggery</t>
        </is>
      </c>
      <c r="D374" t="inlineStr">
        <is>
          <t>Weighing</t>
        </is>
      </c>
      <c r="E374" t="n">
        <v>8</v>
      </c>
      <c r="F374" t="n">
        <v>0</v>
      </c>
      <c r="G374">
        <f>IFERROR(INDEX('01_STAFF'!$F:$F,MATCH(B374,'01_STAFF'!$A:$A,0))*E374,0)</f>
        <v/>
      </c>
    </row>
    <row r="375">
      <c r="A375" t="inlineStr">
        <is>
          <t>2026-01-21</t>
        </is>
      </c>
      <c r="B375" t="inlineStr">
        <is>
          <t>S02</t>
        </is>
      </c>
      <c r="C375" t="inlineStr">
        <is>
          <t>poultry</t>
        </is>
      </c>
      <c r="D375" t="inlineStr">
        <is>
          <t>Feeding</t>
        </is>
      </c>
      <c r="E375" t="n">
        <v>8</v>
      </c>
      <c r="F375" t="n">
        <v>1</v>
      </c>
      <c r="G375">
        <f>IFERROR(INDEX('01_STAFF'!$F:$F,MATCH(B375,'01_STAFF'!$A:$A,0))*E375,0)</f>
        <v/>
      </c>
    </row>
    <row r="376">
      <c r="A376" t="inlineStr">
        <is>
          <t>2026-01-21</t>
        </is>
      </c>
      <c r="B376" t="inlineStr">
        <is>
          <t>S03</t>
        </is>
      </c>
      <c r="C376" t="inlineStr">
        <is>
          <t>crops</t>
        </is>
      </c>
      <c r="D376" t="inlineStr">
        <is>
          <t>Harvest</t>
        </is>
      </c>
      <c r="E376" t="n">
        <v>8</v>
      </c>
      <c r="F376" t="n">
        <v>0</v>
      </c>
      <c r="G376">
        <f>IFERROR(INDEX('01_STAFF'!$F:$F,MATCH(B376,'01_STAFF'!$A:$A,0))*E376,0)</f>
        <v/>
      </c>
    </row>
    <row r="377">
      <c r="A377" t="inlineStr">
        <is>
          <t>2026-01-21</t>
        </is>
      </c>
      <c r="B377" t="inlineStr">
        <is>
          <t>S04</t>
        </is>
      </c>
      <c r="C377" t="inlineStr">
        <is>
          <t>shared</t>
        </is>
      </c>
      <c r="D377" t="inlineStr">
        <is>
          <t>Weighing</t>
        </is>
      </c>
      <c r="E377" t="n">
        <v>7</v>
      </c>
      <c r="F377" t="n">
        <v>0</v>
      </c>
      <c r="G377">
        <f>IFERROR(INDEX('01_STAFF'!$F:$F,MATCH(B377,'01_STAFF'!$A:$A,0))*E377,0)</f>
        <v/>
      </c>
    </row>
    <row r="378">
      <c r="A378" t="inlineStr">
        <is>
          <t>2026-01-22</t>
        </is>
      </c>
      <c r="B378" t="inlineStr">
        <is>
          <t>S01</t>
        </is>
      </c>
      <c r="C378" t="inlineStr">
        <is>
          <t>piggery</t>
        </is>
      </c>
      <c r="D378" t="inlineStr">
        <is>
          <t>Weighing</t>
        </is>
      </c>
      <c r="E378" t="n">
        <v>8</v>
      </c>
      <c r="F378" t="n">
        <v>0</v>
      </c>
      <c r="G378">
        <f>IFERROR(INDEX('01_STAFF'!$F:$F,MATCH(B378,'01_STAFF'!$A:$A,0))*E378,0)</f>
        <v/>
      </c>
    </row>
    <row r="379">
      <c r="A379" t="inlineStr">
        <is>
          <t>2026-01-22</t>
        </is>
      </c>
      <c r="B379" t="inlineStr">
        <is>
          <t>S02</t>
        </is>
      </c>
      <c r="C379" t="inlineStr">
        <is>
          <t>poultry</t>
        </is>
      </c>
      <c r="D379" t="inlineStr">
        <is>
          <t>Feeding</t>
        </is>
      </c>
      <c r="E379" t="n">
        <v>8</v>
      </c>
      <c r="F379" t="n">
        <v>0</v>
      </c>
      <c r="G379">
        <f>IFERROR(INDEX('01_STAFF'!$F:$F,MATCH(B379,'01_STAFF'!$A:$A,0))*E379,0)</f>
        <v/>
      </c>
    </row>
    <row r="380">
      <c r="A380" t="inlineStr">
        <is>
          <t>2026-01-22</t>
        </is>
      </c>
      <c r="B380" t="inlineStr">
        <is>
          <t>S03</t>
        </is>
      </c>
      <c r="C380" t="inlineStr">
        <is>
          <t>crops</t>
        </is>
      </c>
      <c r="D380" t="inlineStr">
        <is>
          <t>Land prep</t>
        </is>
      </c>
      <c r="E380" t="n">
        <v>8</v>
      </c>
      <c r="F380" t="n">
        <v>1</v>
      </c>
      <c r="G380">
        <f>IFERROR(INDEX('01_STAFF'!$F:$F,MATCH(B380,'01_STAFF'!$A:$A,0))*E380,0)</f>
        <v/>
      </c>
    </row>
    <row r="381">
      <c r="A381" t="inlineStr">
        <is>
          <t>2026-01-22</t>
        </is>
      </c>
      <c r="B381" t="inlineStr">
        <is>
          <t>S04</t>
        </is>
      </c>
      <c r="C381" t="inlineStr">
        <is>
          <t>shared</t>
        </is>
      </c>
      <c r="D381" t="inlineStr">
        <is>
          <t>Vaccination</t>
        </is>
      </c>
      <c r="E381" t="n">
        <v>7</v>
      </c>
      <c r="F381" t="n">
        <v>1</v>
      </c>
      <c r="G381">
        <f>IFERROR(INDEX('01_STAFF'!$F:$F,MATCH(B381,'01_STAFF'!$A:$A,0))*E381,0)</f>
        <v/>
      </c>
    </row>
    <row r="382">
      <c r="A382" t="inlineStr">
        <is>
          <t>2026-01-23</t>
        </is>
      </c>
      <c r="B382" t="inlineStr">
        <is>
          <t>S01</t>
        </is>
      </c>
      <c r="C382" t="inlineStr">
        <is>
          <t>piggery</t>
        </is>
      </c>
      <c r="D382" t="inlineStr">
        <is>
          <t>Feeding</t>
        </is>
      </c>
      <c r="E382" t="n">
        <v>8</v>
      </c>
      <c r="F382" t="n">
        <v>0</v>
      </c>
      <c r="G382">
        <f>IFERROR(INDEX('01_STAFF'!$F:$F,MATCH(B382,'01_STAFF'!$A:$A,0))*E382,0)</f>
        <v/>
      </c>
    </row>
    <row r="383">
      <c r="A383" t="inlineStr">
        <is>
          <t>2026-01-23</t>
        </is>
      </c>
      <c r="B383" t="inlineStr">
        <is>
          <t>S02</t>
        </is>
      </c>
      <c r="C383" t="inlineStr">
        <is>
          <t>poultry</t>
        </is>
      </c>
      <c r="D383" t="inlineStr">
        <is>
          <t>Cleaning</t>
        </is>
      </c>
      <c r="E383" t="n">
        <v>8</v>
      </c>
      <c r="F383" t="n">
        <v>0</v>
      </c>
      <c r="G383">
        <f>IFERROR(INDEX('01_STAFF'!$F:$F,MATCH(B383,'01_STAFF'!$A:$A,0))*E383,0)</f>
        <v/>
      </c>
    </row>
    <row r="384">
      <c r="A384" t="inlineStr">
        <is>
          <t>2026-01-23</t>
        </is>
      </c>
      <c r="B384" t="inlineStr">
        <is>
          <t>S03</t>
        </is>
      </c>
      <c r="C384" t="inlineStr">
        <is>
          <t>crops</t>
        </is>
      </c>
      <c r="D384" t="inlineStr">
        <is>
          <t>Spraying</t>
        </is>
      </c>
      <c r="E384" t="n">
        <v>8</v>
      </c>
      <c r="F384" t="n">
        <v>0</v>
      </c>
      <c r="G384">
        <f>IFERROR(INDEX('01_STAFF'!$F:$F,MATCH(B384,'01_STAFF'!$A:$A,0))*E384,0)</f>
        <v/>
      </c>
    </row>
    <row r="385">
      <c r="A385" t="inlineStr">
        <is>
          <t>2026-01-23</t>
        </is>
      </c>
      <c r="B385" t="inlineStr">
        <is>
          <t>S04</t>
        </is>
      </c>
      <c r="C385" t="inlineStr">
        <is>
          <t>shared</t>
        </is>
      </c>
      <c r="D385" t="inlineStr">
        <is>
          <t>Marketing</t>
        </is>
      </c>
      <c r="E385" t="n">
        <v>6</v>
      </c>
      <c r="F385" t="n">
        <v>0</v>
      </c>
      <c r="G385">
        <f>IFERROR(INDEX('01_STAFF'!$F:$F,MATCH(B385,'01_STAFF'!$A:$A,0))*E385,0)</f>
        <v/>
      </c>
    </row>
    <row r="386">
      <c r="A386" t="inlineStr">
        <is>
          <t>2026-01-24</t>
        </is>
      </c>
      <c r="B386" t="inlineStr">
        <is>
          <t>S01</t>
        </is>
      </c>
      <c r="C386" t="inlineStr">
        <is>
          <t>piggery</t>
        </is>
      </c>
      <c r="D386" t="inlineStr">
        <is>
          <t>Feeding</t>
        </is>
      </c>
      <c r="E386" t="n">
        <v>8</v>
      </c>
      <c r="F386" t="n">
        <v>0</v>
      </c>
      <c r="G386">
        <f>IFERROR(INDEX('01_STAFF'!$F:$F,MATCH(B386,'01_STAFF'!$A:$A,0))*E386,0)</f>
        <v/>
      </c>
    </row>
    <row r="387">
      <c r="A387" t="inlineStr">
        <is>
          <t>2026-01-24</t>
        </is>
      </c>
      <c r="B387" t="inlineStr">
        <is>
          <t>S03</t>
        </is>
      </c>
      <c r="C387" t="inlineStr">
        <is>
          <t>crops</t>
        </is>
      </c>
      <c r="D387" t="inlineStr">
        <is>
          <t>Weeding</t>
        </is>
      </c>
      <c r="E387" t="n">
        <v>8</v>
      </c>
      <c r="F387" t="n">
        <v>0</v>
      </c>
      <c r="G387">
        <f>IFERROR(INDEX('01_STAFF'!$F:$F,MATCH(B387,'01_STAFF'!$A:$A,0))*E387,0)</f>
        <v/>
      </c>
    </row>
    <row r="388">
      <c r="A388" t="inlineStr">
        <is>
          <t>2026-01-24</t>
        </is>
      </c>
      <c r="B388" t="inlineStr">
        <is>
          <t>S04</t>
        </is>
      </c>
      <c r="C388" t="inlineStr">
        <is>
          <t>shared</t>
        </is>
      </c>
      <c r="D388" t="inlineStr">
        <is>
          <t>Vaccination</t>
        </is>
      </c>
      <c r="E388" t="n">
        <v>6</v>
      </c>
      <c r="F388" t="n">
        <v>0</v>
      </c>
      <c r="G388">
        <f>IFERROR(INDEX('01_STAFF'!$F:$F,MATCH(B388,'01_STAFF'!$A:$A,0))*E388,0)</f>
        <v/>
      </c>
    </row>
    <row r="389">
      <c r="A389" t="inlineStr">
        <is>
          <t>2026-01-26</t>
        </is>
      </c>
      <c r="B389" t="inlineStr">
        <is>
          <t>S01</t>
        </is>
      </c>
      <c r="C389" t="inlineStr">
        <is>
          <t>piggery</t>
        </is>
      </c>
      <c r="D389" t="inlineStr">
        <is>
          <t>Vaccination</t>
        </is>
      </c>
      <c r="E389" t="n">
        <v>8</v>
      </c>
      <c r="F389" t="n">
        <v>0</v>
      </c>
      <c r="G389">
        <f>IFERROR(INDEX('01_STAFF'!$F:$F,MATCH(B389,'01_STAFF'!$A:$A,0))*E389,0)</f>
        <v/>
      </c>
    </row>
    <row r="390">
      <c r="A390" t="inlineStr">
        <is>
          <t>2026-01-26</t>
        </is>
      </c>
      <c r="B390" t="inlineStr">
        <is>
          <t>S02</t>
        </is>
      </c>
      <c r="C390" t="inlineStr">
        <is>
          <t>poultry</t>
        </is>
      </c>
      <c r="D390" t="inlineStr">
        <is>
          <t>Weighing</t>
        </is>
      </c>
      <c r="E390" t="n">
        <v>8</v>
      </c>
      <c r="F390" t="n">
        <v>0</v>
      </c>
      <c r="G390">
        <f>IFERROR(INDEX('01_STAFF'!$F:$F,MATCH(B390,'01_STAFF'!$A:$A,0))*E390,0)</f>
        <v/>
      </c>
    </row>
    <row r="391">
      <c r="A391" t="inlineStr">
        <is>
          <t>2026-01-26</t>
        </is>
      </c>
      <c r="B391" t="inlineStr">
        <is>
          <t>S03</t>
        </is>
      </c>
      <c r="C391" t="inlineStr">
        <is>
          <t>crops</t>
        </is>
      </c>
      <c r="D391" t="inlineStr">
        <is>
          <t>Harvest</t>
        </is>
      </c>
      <c r="E391" t="n">
        <v>8</v>
      </c>
      <c r="F391" t="n">
        <v>0</v>
      </c>
      <c r="G391">
        <f>IFERROR(INDEX('01_STAFF'!$F:$F,MATCH(B391,'01_STAFF'!$A:$A,0))*E391,0)</f>
        <v/>
      </c>
    </row>
    <row r="392">
      <c r="A392" t="inlineStr">
        <is>
          <t>2026-01-26</t>
        </is>
      </c>
      <c r="B392" t="inlineStr">
        <is>
          <t>S04</t>
        </is>
      </c>
      <c r="C392" t="inlineStr">
        <is>
          <t>shared</t>
        </is>
      </c>
      <c r="D392" t="inlineStr">
        <is>
          <t>Maintenance</t>
        </is>
      </c>
      <c r="E392" t="n">
        <v>5</v>
      </c>
      <c r="F392" t="n">
        <v>0</v>
      </c>
      <c r="G392">
        <f>IFERROR(INDEX('01_STAFF'!$F:$F,MATCH(B392,'01_STAFF'!$A:$A,0))*E392,0)</f>
        <v/>
      </c>
    </row>
    <row r="393">
      <c r="A393" t="inlineStr">
        <is>
          <t>2026-01-27</t>
        </is>
      </c>
      <c r="B393" t="inlineStr">
        <is>
          <t>S01</t>
        </is>
      </c>
      <c r="C393" t="inlineStr">
        <is>
          <t>piggery</t>
        </is>
      </c>
      <c r="D393" t="inlineStr">
        <is>
          <t>Cleaning</t>
        </is>
      </c>
      <c r="E393" t="n">
        <v>8</v>
      </c>
      <c r="F393" t="n">
        <v>0</v>
      </c>
      <c r="G393">
        <f>IFERROR(INDEX('01_STAFF'!$F:$F,MATCH(B393,'01_STAFF'!$A:$A,0))*E393,0)</f>
        <v/>
      </c>
    </row>
    <row r="394">
      <c r="A394" t="inlineStr">
        <is>
          <t>2026-01-27</t>
        </is>
      </c>
      <c r="B394" t="inlineStr">
        <is>
          <t>S02</t>
        </is>
      </c>
      <c r="C394" t="inlineStr">
        <is>
          <t>poultry</t>
        </is>
      </c>
      <c r="D394" t="inlineStr">
        <is>
          <t>Cleaning</t>
        </is>
      </c>
      <c r="E394" t="n">
        <v>8</v>
      </c>
      <c r="F394" t="n">
        <v>0</v>
      </c>
      <c r="G394">
        <f>IFERROR(INDEX('01_STAFF'!$F:$F,MATCH(B394,'01_STAFF'!$A:$A,0))*E394,0)</f>
        <v/>
      </c>
    </row>
    <row r="395">
      <c r="A395" t="inlineStr">
        <is>
          <t>2026-01-27</t>
        </is>
      </c>
      <c r="B395" t="inlineStr">
        <is>
          <t>S03</t>
        </is>
      </c>
      <c r="C395" t="inlineStr">
        <is>
          <t>crops</t>
        </is>
      </c>
      <c r="D395" t="inlineStr">
        <is>
          <t>Weeding</t>
        </is>
      </c>
      <c r="E395" t="n">
        <v>8</v>
      </c>
      <c r="F395" t="n">
        <v>0</v>
      </c>
      <c r="G395">
        <f>IFERROR(INDEX('01_STAFF'!$F:$F,MATCH(B395,'01_STAFF'!$A:$A,0))*E395,0)</f>
        <v/>
      </c>
    </row>
    <row r="396">
      <c r="A396" t="inlineStr">
        <is>
          <t>2026-01-27</t>
        </is>
      </c>
      <c r="B396" t="inlineStr">
        <is>
          <t>S04</t>
        </is>
      </c>
      <c r="C396" t="inlineStr">
        <is>
          <t>shared</t>
        </is>
      </c>
      <c r="D396" t="inlineStr">
        <is>
          <t>Vaccination</t>
        </is>
      </c>
      <c r="E396" t="n">
        <v>6</v>
      </c>
      <c r="F396" t="n">
        <v>0</v>
      </c>
      <c r="G396">
        <f>IFERROR(INDEX('01_STAFF'!$F:$F,MATCH(B396,'01_STAFF'!$A:$A,0))*E396,0)</f>
        <v/>
      </c>
    </row>
    <row r="397">
      <c r="A397" t="inlineStr">
        <is>
          <t>2026-01-28</t>
        </is>
      </c>
      <c r="B397" t="inlineStr">
        <is>
          <t>S01</t>
        </is>
      </c>
      <c r="C397" t="inlineStr">
        <is>
          <t>piggery</t>
        </is>
      </c>
      <c r="D397" t="inlineStr">
        <is>
          <t>Cleaning</t>
        </is>
      </c>
      <c r="E397" t="n">
        <v>8</v>
      </c>
      <c r="F397" t="n">
        <v>0</v>
      </c>
      <c r="G397">
        <f>IFERROR(INDEX('01_STAFF'!$F:$F,MATCH(B397,'01_STAFF'!$A:$A,0))*E397,0)</f>
        <v/>
      </c>
    </row>
    <row r="398">
      <c r="A398" t="inlineStr">
        <is>
          <t>2026-01-28</t>
        </is>
      </c>
      <c r="B398" t="inlineStr">
        <is>
          <t>S03</t>
        </is>
      </c>
      <c r="C398" t="inlineStr">
        <is>
          <t>crops</t>
        </is>
      </c>
      <c r="D398" t="inlineStr">
        <is>
          <t>Spraying</t>
        </is>
      </c>
      <c r="E398" t="n">
        <v>8</v>
      </c>
      <c r="F398" t="n">
        <v>0</v>
      </c>
      <c r="G398">
        <f>IFERROR(INDEX('01_STAFF'!$F:$F,MATCH(B398,'01_STAFF'!$A:$A,0))*E398,0)</f>
        <v/>
      </c>
    </row>
    <row r="399">
      <c r="A399" t="inlineStr">
        <is>
          <t>2026-01-28</t>
        </is>
      </c>
      <c r="B399" t="inlineStr">
        <is>
          <t>S04</t>
        </is>
      </c>
      <c r="C399" t="inlineStr">
        <is>
          <t>shared</t>
        </is>
      </c>
      <c r="D399" t="inlineStr">
        <is>
          <t>Marketing</t>
        </is>
      </c>
      <c r="E399" t="n">
        <v>6</v>
      </c>
      <c r="F399" t="n">
        <v>0</v>
      </c>
      <c r="G399">
        <f>IFERROR(INDEX('01_STAFF'!$F:$F,MATCH(B399,'01_STAFF'!$A:$A,0))*E399,0)</f>
        <v/>
      </c>
    </row>
    <row r="400">
      <c r="A400" t="inlineStr">
        <is>
          <t>2026-01-29</t>
        </is>
      </c>
      <c r="B400" t="inlineStr">
        <is>
          <t>S02</t>
        </is>
      </c>
      <c r="C400" t="inlineStr">
        <is>
          <t>poultry</t>
        </is>
      </c>
      <c r="D400" t="inlineStr">
        <is>
          <t>Cleaning</t>
        </is>
      </c>
      <c r="E400" t="n">
        <v>8</v>
      </c>
      <c r="F400" t="n">
        <v>0</v>
      </c>
      <c r="G400">
        <f>IFERROR(INDEX('01_STAFF'!$F:$F,MATCH(B400,'01_STAFF'!$A:$A,0))*E400,0)</f>
        <v/>
      </c>
    </row>
    <row r="401">
      <c r="A401" t="inlineStr">
        <is>
          <t>2026-01-29</t>
        </is>
      </c>
      <c r="B401" t="inlineStr">
        <is>
          <t>S03</t>
        </is>
      </c>
      <c r="C401" t="inlineStr">
        <is>
          <t>crops</t>
        </is>
      </c>
      <c r="D401" t="inlineStr">
        <is>
          <t>Weeding</t>
        </is>
      </c>
      <c r="E401" t="n">
        <v>8</v>
      </c>
      <c r="F401" t="n">
        <v>1</v>
      </c>
      <c r="G401">
        <f>IFERROR(INDEX('01_STAFF'!$F:$F,MATCH(B401,'01_STAFF'!$A:$A,0))*E401,0)</f>
        <v/>
      </c>
    </row>
    <row r="402">
      <c r="A402" t="inlineStr">
        <is>
          <t>2026-01-29</t>
        </is>
      </c>
      <c r="B402" t="inlineStr">
        <is>
          <t>S04</t>
        </is>
      </c>
      <c r="C402" t="inlineStr">
        <is>
          <t>shared</t>
        </is>
      </c>
      <c r="D402" t="inlineStr">
        <is>
          <t>Vaccination</t>
        </is>
      </c>
      <c r="E402" t="n">
        <v>6</v>
      </c>
      <c r="F402" t="n">
        <v>0</v>
      </c>
      <c r="G402">
        <f>IFERROR(INDEX('01_STAFF'!$F:$F,MATCH(B402,'01_STAFF'!$A:$A,0))*E402,0)</f>
        <v/>
      </c>
    </row>
    <row r="403">
      <c r="A403" t="inlineStr">
        <is>
          <t>2026-01-30</t>
        </is>
      </c>
      <c r="B403" t="inlineStr">
        <is>
          <t>S01</t>
        </is>
      </c>
      <c r="C403" t="inlineStr">
        <is>
          <t>piggery</t>
        </is>
      </c>
      <c r="D403" t="inlineStr">
        <is>
          <t>Cleaning</t>
        </is>
      </c>
      <c r="E403" t="n">
        <v>8</v>
      </c>
      <c r="F403" t="n">
        <v>0</v>
      </c>
      <c r="G403">
        <f>IFERROR(INDEX('01_STAFF'!$F:$F,MATCH(B403,'01_STAFF'!$A:$A,0))*E403,0)</f>
        <v/>
      </c>
    </row>
    <row r="404">
      <c r="A404" t="inlineStr">
        <is>
          <t>2026-01-30</t>
        </is>
      </c>
      <c r="B404" t="inlineStr">
        <is>
          <t>S02</t>
        </is>
      </c>
      <c r="C404" t="inlineStr">
        <is>
          <t>poultry</t>
        </is>
      </c>
      <c r="D404" t="inlineStr">
        <is>
          <t>Vaccination</t>
        </is>
      </c>
      <c r="E404" t="n">
        <v>8</v>
      </c>
      <c r="F404" t="n">
        <v>0</v>
      </c>
      <c r="G404">
        <f>IFERROR(INDEX('01_STAFF'!$F:$F,MATCH(B404,'01_STAFF'!$A:$A,0))*E404,0)</f>
        <v/>
      </c>
    </row>
    <row r="405">
      <c r="A405" t="inlineStr">
        <is>
          <t>2026-01-30</t>
        </is>
      </c>
      <c r="B405" t="inlineStr">
        <is>
          <t>S03</t>
        </is>
      </c>
      <c r="C405" t="inlineStr">
        <is>
          <t>crops</t>
        </is>
      </c>
      <c r="D405" t="inlineStr">
        <is>
          <t>Harvest</t>
        </is>
      </c>
      <c r="E405" t="n">
        <v>8</v>
      </c>
      <c r="F405" t="n">
        <v>0</v>
      </c>
      <c r="G405">
        <f>IFERROR(INDEX('01_STAFF'!$F:$F,MATCH(B405,'01_STAFF'!$A:$A,0))*E405,0)</f>
        <v/>
      </c>
    </row>
    <row r="406">
      <c r="A406" t="inlineStr">
        <is>
          <t>2026-01-30</t>
        </is>
      </c>
      <c r="B406" t="inlineStr">
        <is>
          <t>S04</t>
        </is>
      </c>
      <c r="C406" t="inlineStr">
        <is>
          <t>shared</t>
        </is>
      </c>
      <c r="D406" t="inlineStr">
        <is>
          <t>Maintenance</t>
        </is>
      </c>
      <c r="E406" t="n">
        <v>6</v>
      </c>
      <c r="F406" t="n">
        <v>0</v>
      </c>
      <c r="G406">
        <f>IFERROR(INDEX('01_STAFF'!$F:$F,MATCH(B406,'01_STAFF'!$A:$A,0))*E406,0)</f>
        <v/>
      </c>
    </row>
    <row r="407">
      <c r="A407" t="inlineStr">
        <is>
          <t>2026-01-31</t>
        </is>
      </c>
      <c r="B407" t="inlineStr">
        <is>
          <t>S01</t>
        </is>
      </c>
      <c r="C407" t="inlineStr">
        <is>
          <t>piggery</t>
        </is>
      </c>
      <c r="D407" t="inlineStr">
        <is>
          <t>Vaccination</t>
        </is>
      </c>
      <c r="E407" t="n">
        <v>8</v>
      </c>
      <c r="F407" t="n">
        <v>0</v>
      </c>
      <c r="G407">
        <f>IFERROR(INDEX('01_STAFF'!$F:$F,MATCH(B407,'01_STAFF'!$A:$A,0))*E407,0)</f>
        <v/>
      </c>
    </row>
    <row r="408">
      <c r="A408" t="inlineStr">
        <is>
          <t>2026-01-31</t>
        </is>
      </c>
      <c r="B408" t="inlineStr">
        <is>
          <t>S02</t>
        </is>
      </c>
      <c r="C408" t="inlineStr">
        <is>
          <t>poultry</t>
        </is>
      </c>
      <c r="D408" t="inlineStr">
        <is>
          <t>Cleaning</t>
        </is>
      </c>
      <c r="E408" t="n">
        <v>8</v>
      </c>
      <c r="F408" t="n">
        <v>0</v>
      </c>
      <c r="G408">
        <f>IFERROR(INDEX('01_STAFF'!$F:$F,MATCH(B408,'01_STAFF'!$A:$A,0))*E408,0)</f>
        <v/>
      </c>
    </row>
    <row r="409">
      <c r="A409" t="inlineStr">
        <is>
          <t>2026-01-31</t>
        </is>
      </c>
      <c r="B409" t="inlineStr">
        <is>
          <t>S03</t>
        </is>
      </c>
      <c r="C409" t="inlineStr">
        <is>
          <t>crops</t>
        </is>
      </c>
      <c r="D409" t="inlineStr">
        <is>
          <t>Spraying</t>
        </is>
      </c>
      <c r="E409" t="n">
        <v>8</v>
      </c>
      <c r="F409" t="n">
        <v>0</v>
      </c>
      <c r="G409">
        <f>IFERROR(INDEX('01_STAFF'!$F:$F,MATCH(B409,'01_STAFF'!$A:$A,0))*E409,0)</f>
        <v/>
      </c>
    </row>
    <row r="410">
      <c r="A410" t="inlineStr">
        <is>
          <t>2026-01-31</t>
        </is>
      </c>
      <c r="B410" t="inlineStr">
        <is>
          <t>S04</t>
        </is>
      </c>
      <c r="C410" t="inlineStr">
        <is>
          <t>shared</t>
        </is>
      </c>
      <c r="D410" t="inlineStr">
        <is>
          <t>Weighing</t>
        </is>
      </c>
      <c r="E410" t="n">
        <v>6</v>
      </c>
      <c r="F410" t="n">
        <v>0</v>
      </c>
      <c r="G410">
        <f>IFERROR(INDEX('01_STAFF'!$F:$F,MATCH(B410,'01_STAFF'!$A:$A,0))*E410,0)</f>
        <v/>
      </c>
    </row>
    <row r="411">
      <c r="A411" t="inlineStr">
        <is>
          <t>2026-02-02</t>
        </is>
      </c>
      <c r="B411" t="inlineStr">
        <is>
          <t>S01</t>
        </is>
      </c>
      <c r="C411" t="inlineStr">
        <is>
          <t>piggery</t>
        </is>
      </c>
      <c r="D411" t="inlineStr">
        <is>
          <t>Vaccination</t>
        </is>
      </c>
      <c r="E411" t="n">
        <v>8</v>
      </c>
      <c r="F411" t="n">
        <v>0</v>
      </c>
      <c r="G411">
        <f>IFERROR(INDEX('01_STAFF'!$F:$F,MATCH(B411,'01_STAFF'!$A:$A,0))*E411,0)</f>
        <v/>
      </c>
    </row>
    <row r="412">
      <c r="A412" t="inlineStr">
        <is>
          <t>2026-02-02</t>
        </is>
      </c>
      <c r="B412" t="inlineStr">
        <is>
          <t>S02</t>
        </is>
      </c>
      <c r="C412" t="inlineStr">
        <is>
          <t>poultry</t>
        </is>
      </c>
      <c r="D412" t="inlineStr">
        <is>
          <t>Feeding</t>
        </is>
      </c>
      <c r="E412" t="n">
        <v>8</v>
      </c>
      <c r="F412" t="n">
        <v>0</v>
      </c>
      <c r="G412">
        <f>IFERROR(INDEX('01_STAFF'!$F:$F,MATCH(B412,'01_STAFF'!$A:$A,0))*E412,0)</f>
        <v/>
      </c>
    </row>
    <row r="413">
      <c r="A413" t="inlineStr">
        <is>
          <t>2026-02-02</t>
        </is>
      </c>
      <c r="B413" t="inlineStr">
        <is>
          <t>S03</t>
        </is>
      </c>
      <c r="C413" t="inlineStr">
        <is>
          <t>crops</t>
        </is>
      </c>
      <c r="D413" t="inlineStr">
        <is>
          <t>Weeding</t>
        </is>
      </c>
      <c r="E413" t="n">
        <v>8</v>
      </c>
      <c r="F413" t="n">
        <v>0</v>
      </c>
      <c r="G413">
        <f>IFERROR(INDEX('01_STAFF'!$F:$F,MATCH(B413,'01_STAFF'!$A:$A,0))*E413,0)</f>
        <v/>
      </c>
    </row>
    <row r="414">
      <c r="A414" t="inlineStr">
        <is>
          <t>2026-02-02</t>
        </is>
      </c>
      <c r="B414" t="inlineStr">
        <is>
          <t>S04</t>
        </is>
      </c>
      <c r="C414" t="inlineStr">
        <is>
          <t>shared</t>
        </is>
      </c>
      <c r="D414" t="inlineStr">
        <is>
          <t>Weighing</t>
        </is>
      </c>
      <c r="E414" t="n">
        <v>6</v>
      </c>
      <c r="F414" t="n">
        <v>0</v>
      </c>
      <c r="G414">
        <f>IFERROR(INDEX('01_STAFF'!$F:$F,MATCH(B414,'01_STAFF'!$A:$A,0))*E414,0)</f>
        <v/>
      </c>
    </row>
    <row r="415">
      <c r="A415" t="inlineStr">
        <is>
          <t>2026-02-03</t>
        </is>
      </c>
      <c r="B415" t="inlineStr">
        <is>
          <t>S01</t>
        </is>
      </c>
      <c r="C415" t="inlineStr">
        <is>
          <t>piggery</t>
        </is>
      </c>
      <c r="D415" t="inlineStr">
        <is>
          <t>Vaccination</t>
        </is>
      </c>
      <c r="E415" t="n">
        <v>8</v>
      </c>
      <c r="F415" t="n">
        <v>0</v>
      </c>
      <c r="G415">
        <f>IFERROR(INDEX('01_STAFF'!$F:$F,MATCH(B415,'01_STAFF'!$A:$A,0))*E415,0)</f>
        <v/>
      </c>
    </row>
    <row r="416">
      <c r="A416" t="inlineStr">
        <is>
          <t>2026-02-03</t>
        </is>
      </c>
      <c r="B416" t="inlineStr">
        <is>
          <t>S02</t>
        </is>
      </c>
      <c r="C416" t="inlineStr">
        <is>
          <t>poultry</t>
        </is>
      </c>
      <c r="D416" t="inlineStr">
        <is>
          <t>Vaccination</t>
        </is>
      </c>
      <c r="E416" t="n">
        <v>8</v>
      </c>
      <c r="F416" t="n">
        <v>0</v>
      </c>
      <c r="G416">
        <f>IFERROR(INDEX('01_STAFF'!$F:$F,MATCH(B416,'01_STAFF'!$A:$A,0))*E416,0)</f>
        <v/>
      </c>
    </row>
    <row r="417">
      <c r="A417" t="inlineStr">
        <is>
          <t>2026-02-03</t>
        </is>
      </c>
      <c r="B417" t="inlineStr">
        <is>
          <t>S03</t>
        </is>
      </c>
      <c r="C417" t="inlineStr">
        <is>
          <t>crops</t>
        </is>
      </c>
      <c r="D417" t="inlineStr">
        <is>
          <t>Harvest</t>
        </is>
      </c>
      <c r="E417" t="n">
        <v>8</v>
      </c>
      <c r="F417" t="n">
        <v>0</v>
      </c>
      <c r="G417">
        <f>IFERROR(INDEX('01_STAFF'!$F:$F,MATCH(B417,'01_STAFF'!$A:$A,0))*E417,0)</f>
        <v/>
      </c>
    </row>
    <row r="418">
      <c r="A418" t="inlineStr">
        <is>
          <t>2026-02-03</t>
        </is>
      </c>
      <c r="B418" t="inlineStr">
        <is>
          <t>S04</t>
        </is>
      </c>
      <c r="C418" t="inlineStr">
        <is>
          <t>shared</t>
        </is>
      </c>
      <c r="D418" t="inlineStr">
        <is>
          <t>Weighing</t>
        </is>
      </c>
      <c r="E418" t="n">
        <v>7</v>
      </c>
      <c r="F418" t="n">
        <v>0</v>
      </c>
      <c r="G418">
        <f>IFERROR(INDEX('01_STAFF'!$F:$F,MATCH(B418,'01_STAFF'!$A:$A,0))*E418,0)</f>
        <v/>
      </c>
    </row>
    <row r="419">
      <c r="A419" t="inlineStr">
        <is>
          <t>2026-02-04</t>
        </is>
      </c>
      <c r="B419" t="inlineStr">
        <is>
          <t>S01</t>
        </is>
      </c>
      <c r="C419" t="inlineStr">
        <is>
          <t>piggery</t>
        </is>
      </c>
      <c r="D419" t="inlineStr">
        <is>
          <t>Feeding</t>
        </is>
      </c>
      <c r="E419" t="n">
        <v>8</v>
      </c>
      <c r="F419" t="n">
        <v>0</v>
      </c>
      <c r="G419">
        <f>IFERROR(INDEX('01_STAFF'!$F:$F,MATCH(B419,'01_STAFF'!$A:$A,0))*E419,0)</f>
        <v/>
      </c>
    </row>
    <row r="420">
      <c r="A420" t="inlineStr">
        <is>
          <t>2026-02-04</t>
        </is>
      </c>
      <c r="B420" t="inlineStr">
        <is>
          <t>S02</t>
        </is>
      </c>
      <c r="C420" t="inlineStr">
        <is>
          <t>poultry</t>
        </is>
      </c>
      <c r="D420" t="inlineStr">
        <is>
          <t>Weighing</t>
        </is>
      </c>
      <c r="E420" t="n">
        <v>8</v>
      </c>
      <c r="F420" t="n">
        <v>1</v>
      </c>
      <c r="G420">
        <f>IFERROR(INDEX('01_STAFF'!$F:$F,MATCH(B420,'01_STAFF'!$A:$A,0))*E420,0)</f>
        <v/>
      </c>
    </row>
    <row r="421">
      <c r="A421" t="inlineStr">
        <is>
          <t>2026-02-04</t>
        </is>
      </c>
      <c r="B421" t="inlineStr">
        <is>
          <t>S03</t>
        </is>
      </c>
      <c r="C421" t="inlineStr">
        <is>
          <t>crops</t>
        </is>
      </c>
      <c r="D421" t="inlineStr">
        <is>
          <t>Harvest</t>
        </is>
      </c>
      <c r="E421" t="n">
        <v>8</v>
      </c>
      <c r="F421" t="n">
        <v>1</v>
      </c>
      <c r="G421">
        <f>IFERROR(INDEX('01_STAFF'!$F:$F,MATCH(B421,'01_STAFF'!$A:$A,0))*E421,0)</f>
        <v/>
      </c>
    </row>
    <row r="422">
      <c r="A422" t="inlineStr">
        <is>
          <t>2026-02-04</t>
        </is>
      </c>
      <c r="B422" t="inlineStr">
        <is>
          <t>S04</t>
        </is>
      </c>
      <c r="C422" t="inlineStr">
        <is>
          <t>shared</t>
        </is>
      </c>
      <c r="D422" t="inlineStr">
        <is>
          <t>Vaccination</t>
        </is>
      </c>
      <c r="E422" t="n">
        <v>6</v>
      </c>
      <c r="F422" t="n">
        <v>0</v>
      </c>
      <c r="G422">
        <f>IFERROR(INDEX('01_STAFF'!$F:$F,MATCH(B422,'01_STAFF'!$A:$A,0))*E422,0)</f>
        <v/>
      </c>
    </row>
    <row r="423">
      <c r="A423" t="inlineStr">
        <is>
          <t>2026-02-05</t>
        </is>
      </c>
      <c r="B423" t="inlineStr">
        <is>
          <t>S01</t>
        </is>
      </c>
      <c r="C423" t="inlineStr">
        <is>
          <t>piggery</t>
        </is>
      </c>
      <c r="D423" t="inlineStr">
        <is>
          <t>Cleaning</t>
        </is>
      </c>
      <c r="E423" t="n">
        <v>8</v>
      </c>
      <c r="F423" t="n">
        <v>0</v>
      </c>
      <c r="G423">
        <f>IFERROR(INDEX('01_STAFF'!$F:$F,MATCH(B423,'01_STAFF'!$A:$A,0))*E423,0)</f>
        <v/>
      </c>
    </row>
    <row r="424">
      <c r="A424" t="inlineStr">
        <is>
          <t>2026-02-05</t>
        </is>
      </c>
      <c r="B424" t="inlineStr">
        <is>
          <t>S02</t>
        </is>
      </c>
      <c r="C424" t="inlineStr">
        <is>
          <t>poultry</t>
        </is>
      </c>
      <c r="D424" t="inlineStr">
        <is>
          <t>Weighing</t>
        </is>
      </c>
      <c r="E424" t="n">
        <v>8</v>
      </c>
      <c r="F424" t="n">
        <v>0</v>
      </c>
      <c r="G424">
        <f>IFERROR(INDEX('01_STAFF'!$F:$F,MATCH(B424,'01_STAFF'!$A:$A,0))*E424,0)</f>
        <v/>
      </c>
    </row>
    <row r="425">
      <c r="A425" t="inlineStr">
        <is>
          <t>2026-02-05</t>
        </is>
      </c>
      <c r="B425" t="inlineStr">
        <is>
          <t>S04</t>
        </is>
      </c>
      <c r="C425" t="inlineStr">
        <is>
          <t>shared</t>
        </is>
      </c>
      <c r="D425" t="inlineStr">
        <is>
          <t>Vaccination</t>
        </is>
      </c>
      <c r="E425" t="n">
        <v>6</v>
      </c>
      <c r="F425" t="n">
        <v>0</v>
      </c>
      <c r="G425">
        <f>IFERROR(INDEX('01_STAFF'!$F:$F,MATCH(B425,'01_STAFF'!$A:$A,0))*E425,0)</f>
        <v/>
      </c>
    </row>
    <row r="426">
      <c r="A426" t="inlineStr">
        <is>
          <t>2026-02-06</t>
        </is>
      </c>
      <c r="B426" t="inlineStr">
        <is>
          <t>S01</t>
        </is>
      </c>
      <c r="C426" t="inlineStr">
        <is>
          <t>piggery</t>
        </is>
      </c>
      <c r="D426" t="inlineStr">
        <is>
          <t>Feeding</t>
        </is>
      </c>
      <c r="E426" t="n">
        <v>8</v>
      </c>
      <c r="F426" t="n">
        <v>0</v>
      </c>
      <c r="G426">
        <f>IFERROR(INDEX('01_STAFF'!$F:$F,MATCH(B426,'01_STAFF'!$A:$A,0))*E426,0)</f>
        <v/>
      </c>
    </row>
    <row r="427">
      <c r="A427" t="inlineStr">
        <is>
          <t>2026-02-06</t>
        </is>
      </c>
      <c r="B427" t="inlineStr">
        <is>
          <t>S02</t>
        </is>
      </c>
      <c r="C427" t="inlineStr">
        <is>
          <t>poultry</t>
        </is>
      </c>
      <c r="D427" t="inlineStr">
        <is>
          <t>Vaccination</t>
        </is>
      </c>
      <c r="E427" t="n">
        <v>8</v>
      </c>
      <c r="F427" t="n">
        <v>0</v>
      </c>
      <c r="G427">
        <f>IFERROR(INDEX('01_STAFF'!$F:$F,MATCH(B427,'01_STAFF'!$A:$A,0))*E427,0)</f>
        <v/>
      </c>
    </row>
    <row r="428">
      <c r="A428" t="inlineStr">
        <is>
          <t>2026-02-06</t>
        </is>
      </c>
      <c r="B428" t="inlineStr">
        <is>
          <t>S03</t>
        </is>
      </c>
      <c r="C428" t="inlineStr">
        <is>
          <t>crops</t>
        </is>
      </c>
      <c r="D428" t="inlineStr">
        <is>
          <t>Spraying</t>
        </is>
      </c>
      <c r="E428" t="n">
        <v>8</v>
      </c>
      <c r="F428" t="n">
        <v>0</v>
      </c>
      <c r="G428">
        <f>IFERROR(INDEX('01_STAFF'!$F:$F,MATCH(B428,'01_STAFF'!$A:$A,0))*E428,0)</f>
        <v/>
      </c>
    </row>
    <row r="429">
      <c r="A429" t="inlineStr">
        <is>
          <t>2026-02-06</t>
        </is>
      </c>
      <c r="B429" t="inlineStr">
        <is>
          <t>S04</t>
        </is>
      </c>
      <c r="C429" t="inlineStr">
        <is>
          <t>shared</t>
        </is>
      </c>
      <c r="D429" t="inlineStr">
        <is>
          <t>Marketing</t>
        </is>
      </c>
      <c r="E429" t="n">
        <v>5</v>
      </c>
      <c r="F429" t="n">
        <v>0</v>
      </c>
      <c r="G429">
        <f>IFERROR(INDEX('01_STAFF'!$F:$F,MATCH(B429,'01_STAFF'!$A:$A,0))*E429,0)</f>
        <v/>
      </c>
    </row>
    <row r="430">
      <c r="A430" t="inlineStr">
        <is>
          <t>2026-02-07</t>
        </is>
      </c>
      <c r="B430" t="inlineStr">
        <is>
          <t>S01</t>
        </is>
      </c>
      <c r="C430" t="inlineStr">
        <is>
          <t>piggery</t>
        </is>
      </c>
      <c r="D430" t="inlineStr">
        <is>
          <t>Feeding</t>
        </is>
      </c>
      <c r="E430" t="n">
        <v>8</v>
      </c>
      <c r="F430" t="n">
        <v>0</v>
      </c>
      <c r="G430">
        <f>IFERROR(INDEX('01_STAFF'!$F:$F,MATCH(B430,'01_STAFF'!$A:$A,0))*E430,0)</f>
        <v/>
      </c>
    </row>
    <row r="431">
      <c r="A431" t="inlineStr">
        <is>
          <t>2026-02-07</t>
        </is>
      </c>
      <c r="B431" t="inlineStr">
        <is>
          <t>S02</t>
        </is>
      </c>
      <c r="C431" t="inlineStr">
        <is>
          <t>poultry</t>
        </is>
      </c>
      <c r="D431" t="inlineStr">
        <is>
          <t>Vaccination</t>
        </is>
      </c>
      <c r="E431" t="n">
        <v>8</v>
      </c>
      <c r="F431" t="n">
        <v>0</v>
      </c>
      <c r="G431">
        <f>IFERROR(INDEX('01_STAFF'!$F:$F,MATCH(B431,'01_STAFF'!$A:$A,0))*E431,0)</f>
        <v/>
      </c>
    </row>
    <row r="432">
      <c r="A432" t="inlineStr">
        <is>
          <t>2026-02-07</t>
        </is>
      </c>
      <c r="B432" t="inlineStr">
        <is>
          <t>S03</t>
        </is>
      </c>
      <c r="C432" t="inlineStr">
        <is>
          <t>crops</t>
        </is>
      </c>
      <c r="D432" t="inlineStr">
        <is>
          <t>Harvest</t>
        </is>
      </c>
      <c r="E432" t="n">
        <v>8</v>
      </c>
      <c r="F432" t="n">
        <v>0</v>
      </c>
      <c r="G432">
        <f>IFERROR(INDEX('01_STAFF'!$F:$F,MATCH(B432,'01_STAFF'!$A:$A,0))*E432,0)</f>
        <v/>
      </c>
    </row>
    <row r="433">
      <c r="A433" t="inlineStr">
        <is>
          <t>2026-02-07</t>
        </is>
      </c>
      <c r="B433" t="inlineStr">
        <is>
          <t>S04</t>
        </is>
      </c>
      <c r="C433" t="inlineStr">
        <is>
          <t>shared</t>
        </is>
      </c>
      <c r="D433" t="inlineStr">
        <is>
          <t>Vaccination</t>
        </is>
      </c>
      <c r="E433" t="n">
        <v>6</v>
      </c>
      <c r="F433" t="n">
        <v>0</v>
      </c>
      <c r="G433">
        <f>IFERROR(INDEX('01_STAFF'!$F:$F,MATCH(B433,'01_STAFF'!$A:$A,0))*E433,0)</f>
        <v/>
      </c>
    </row>
    <row r="434">
      <c r="A434" t="inlineStr">
        <is>
          <t>2026-02-09</t>
        </is>
      </c>
      <c r="B434" t="inlineStr">
        <is>
          <t>S01</t>
        </is>
      </c>
      <c r="C434" t="inlineStr">
        <is>
          <t>piggery</t>
        </is>
      </c>
      <c r="D434" t="inlineStr">
        <is>
          <t>Feeding</t>
        </is>
      </c>
      <c r="E434" t="n">
        <v>8</v>
      </c>
      <c r="F434" t="n">
        <v>0</v>
      </c>
      <c r="G434">
        <f>IFERROR(INDEX('01_STAFF'!$F:$F,MATCH(B434,'01_STAFF'!$A:$A,0))*E434,0)</f>
        <v/>
      </c>
    </row>
    <row r="435">
      <c r="A435" t="inlineStr">
        <is>
          <t>2026-02-09</t>
        </is>
      </c>
      <c r="B435" t="inlineStr">
        <is>
          <t>S02</t>
        </is>
      </c>
      <c r="C435" t="inlineStr">
        <is>
          <t>poultry</t>
        </is>
      </c>
      <c r="D435" t="inlineStr">
        <is>
          <t>Cleaning</t>
        </is>
      </c>
      <c r="E435" t="n">
        <v>8</v>
      </c>
      <c r="F435" t="n">
        <v>0</v>
      </c>
      <c r="G435">
        <f>IFERROR(INDEX('01_STAFF'!$F:$F,MATCH(B435,'01_STAFF'!$A:$A,0))*E435,0)</f>
        <v/>
      </c>
    </row>
    <row r="436">
      <c r="A436" t="inlineStr">
        <is>
          <t>2026-02-09</t>
        </is>
      </c>
      <c r="B436" t="inlineStr">
        <is>
          <t>S04</t>
        </is>
      </c>
      <c r="C436" t="inlineStr">
        <is>
          <t>shared</t>
        </is>
      </c>
      <c r="D436" t="inlineStr">
        <is>
          <t>Vaccination</t>
        </is>
      </c>
      <c r="E436" t="n">
        <v>5</v>
      </c>
      <c r="F436" t="n">
        <v>0</v>
      </c>
      <c r="G436">
        <f>IFERROR(INDEX('01_STAFF'!$F:$F,MATCH(B436,'01_STAFF'!$A:$A,0))*E436,0)</f>
        <v/>
      </c>
    </row>
    <row r="437">
      <c r="A437" t="inlineStr">
        <is>
          <t>2026-02-10</t>
        </is>
      </c>
      <c r="B437" t="inlineStr">
        <is>
          <t>S01</t>
        </is>
      </c>
      <c r="C437" t="inlineStr">
        <is>
          <t>piggery</t>
        </is>
      </c>
      <c r="D437" t="inlineStr">
        <is>
          <t>Feeding</t>
        </is>
      </c>
      <c r="E437" t="n">
        <v>8</v>
      </c>
      <c r="F437" t="n">
        <v>0</v>
      </c>
      <c r="G437">
        <f>IFERROR(INDEX('01_STAFF'!$F:$F,MATCH(B437,'01_STAFF'!$A:$A,0))*E437,0)</f>
        <v/>
      </c>
    </row>
    <row r="438">
      <c r="A438" t="inlineStr">
        <is>
          <t>2026-02-10</t>
        </is>
      </c>
      <c r="B438" t="inlineStr">
        <is>
          <t>S02</t>
        </is>
      </c>
      <c r="C438" t="inlineStr">
        <is>
          <t>poultry</t>
        </is>
      </c>
      <c r="D438" t="inlineStr">
        <is>
          <t>Cleaning</t>
        </is>
      </c>
      <c r="E438" t="n">
        <v>8</v>
      </c>
      <c r="F438" t="n">
        <v>0</v>
      </c>
      <c r="G438">
        <f>IFERROR(INDEX('01_STAFF'!$F:$F,MATCH(B438,'01_STAFF'!$A:$A,0))*E438,0)</f>
        <v/>
      </c>
    </row>
    <row r="439">
      <c r="A439" t="inlineStr">
        <is>
          <t>2026-02-10</t>
        </is>
      </c>
      <c r="B439" t="inlineStr">
        <is>
          <t>S03</t>
        </is>
      </c>
      <c r="C439" t="inlineStr">
        <is>
          <t>crops</t>
        </is>
      </c>
      <c r="D439" t="inlineStr">
        <is>
          <t>Weeding</t>
        </is>
      </c>
      <c r="E439" t="n">
        <v>8</v>
      </c>
      <c r="F439" t="n">
        <v>0</v>
      </c>
      <c r="G439">
        <f>IFERROR(INDEX('01_STAFF'!$F:$F,MATCH(B439,'01_STAFF'!$A:$A,0))*E439,0)</f>
        <v/>
      </c>
    </row>
    <row r="440">
      <c r="A440" t="inlineStr">
        <is>
          <t>2026-02-10</t>
        </is>
      </c>
      <c r="B440" t="inlineStr">
        <is>
          <t>S04</t>
        </is>
      </c>
      <c r="C440" t="inlineStr">
        <is>
          <t>shared</t>
        </is>
      </c>
      <c r="D440" t="inlineStr">
        <is>
          <t>Vaccination</t>
        </is>
      </c>
      <c r="E440" t="n">
        <v>5</v>
      </c>
      <c r="F440" t="n">
        <v>0</v>
      </c>
      <c r="G440">
        <f>IFERROR(INDEX('01_STAFF'!$F:$F,MATCH(B440,'01_STAFF'!$A:$A,0))*E440,0)</f>
        <v/>
      </c>
    </row>
    <row r="441">
      <c r="A441" t="inlineStr">
        <is>
          <t>2026-02-11</t>
        </is>
      </c>
      <c r="B441" t="inlineStr">
        <is>
          <t>S01</t>
        </is>
      </c>
      <c r="C441" t="inlineStr">
        <is>
          <t>piggery</t>
        </is>
      </c>
      <c r="D441" t="inlineStr">
        <is>
          <t>Weighing</t>
        </is>
      </c>
      <c r="E441" t="n">
        <v>8</v>
      </c>
      <c r="F441" t="n">
        <v>0</v>
      </c>
      <c r="G441">
        <f>IFERROR(INDEX('01_STAFF'!$F:$F,MATCH(B441,'01_STAFF'!$A:$A,0))*E441,0)</f>
        <v/>
      </c>
    </row>
    <row r="442">
      <c r="A442" t="inlineStr">
        <is>
          <t>2026-02-11</t>
        </is>
      </c>
      <c r="B442" t="inlineStr">
        <is>
          <t>S03</t>
        </is>
      </c>
      <c r="C442" t="inlineStr">
        <is>
          <t>crops</t>
        </is>
      </c>
      <c r="D442" t="inlineStr">
        <is>
          <t>Spraying</t>
        </is>
      </c>
      <c r="E442" t="n">
        <v>8</v>
      </c>
      <c r="F442" t="n">
        <v>0</v>
      </c>
      <c r="G442">
        <f>IFERROR(INDEX('01_STAFF'!$F:$F,MATCH(B442,'01_STAFF'!$A:$A,0))*E442,0)</f>
        <v/>
      </c>
    </row>
    <row r="443">
      <c r="A443" t="inlineStr">
        <is>
          <t>2026-02-11</t>
        </is>
      </c>
      <c r="B443" t="inlineStr">
        <is>
          <t>S04</t>
        </is>
      </c>
      <c r="C443" t="inlineStr">
        <is>
          <t>shared</t>
        </is>
      </c>
      <c r="D443" t="inlineStr">
        <is>
          <t>Marketing</t>
        </is>
      </c>
      <c r="E443" t="n">
        <v>5</v>
      </c>
      <c r="F443" t="n">
        <v>0</v>
      </c>
      <c r="G443">
        <f>IFERROR(INDEX('01_STAFF'!$F:$F,MATCH(B443,'01_STAFF'!$A:$A,0))*E443,0)</f>
        <v/>
      </c>
    </row>
    <row r="444">
      <c r="A444" t="inlineStr">
        <is>
          <t>2026-02-12</t>
        </is>
      </c>
      <c r="B444" t="inlineStr">
        <is>
          <t>S01</t>
        </is>
      </c>
      <c r="C444" t="inlineStr">
        <is>
          <t>piggery</t>
        </is>
      </c>
      <c r="D444" t="inlineStr">
        <is>
          <t>Cleaning</t>
        </is>
      </c>
      <c r="E444" t="n">
        <v>8</v>
      </c>
      <c r="F444" t="n">
        <v>0</v>
      </c>
      <c r="G444">
        <f>IFERROR(INDEX('01_STAFF'!$F:$F,MATCH(B444,'01_STAFF'!$A:$A,0))*E444,0)</f>
        <v/>
      </c>
    </row>
    <row r="445">
      <c r="A445" t="inlineStr">
        <is>
          <t>2026-02-12</t>
        </is>
      </c>
      <c r="B445" t="inlineStr">
        <is>
          <t>S02</t>
        </is>
      </c>
      <c r="C445" t="inlineStr">
        <is>
          <t>poultry</t>
        </is>
      </c>
      <c r="D445" t="inlineStr">
        <is>
          <t>Feeding</t>
        </is>
      </c>
      <c r="E445" t="n">
        <v>8</v>
      </c>
      <c r="F445" t="n">
        <v>0</v>
      </c>
      <c r="G445">
        <f>IFERROR(INDEX('01_STAFF'!$F:$F,MATCH(B445,'01_STAFF'!$A:$A,0))*E445,0)</f>
        <v/>
      </c>
    </row>
    <row r="446">
      <c r="A446" t="inlineStr">
        <is>
          <t>2026-02-12</t>
        </is>
      </c>
      <c r="B446" t="inlineStr">
        <is>
          <t>S03</t>
        </is>
      </c>
      <c r="C446" t="inlineStr">
        <is>
          <t>crops</t>
        </is>
      </c>
      <c r="D446" t="inlineStr">
        <is>
          <t>Land prep</t>
        </is>
      </c>
      <c r="E446" t="n">
        <v>8</v>
      </c>
      <c r="F446" t="n">
        <v>0</v>
      </c>
      <c r="G446">
        <f>IFERROR(INDEX('01_STAFF'!$F:$F,MATCH(B446,'01_STAFF'!$A:$A,0))*E446,0)</f>
        <v/>
      </c>
    </row>
    <row r="447">
      <c r="A447" t="inlineStr">
        <is>
          <t>2026-02-12</t>
        </is>
      </c>
      <c r="B447" t="inlineStr">
        <is>
          <t>S04</t>
        </is>
      </c>
      <c r="C447" t="inlineStr">
        <is>
          <t>shared</t>
        </is>
      </c>
      <c r="D447" t="inlineStr">
        <is>
          <t>Weighing</t>
        </is>
      </c>
      <c r="E447" t="n">
        <v>6</v>
      </c>
      <c r="F447" t="n">
        <v>0</v>
      </c>
      <c r="G447">
        <f>IFERROR(INDEX('01_STAFF'!$F:$F,MATCH(B447,'01_STAFF'!$A:$A,0))*E447,0)</f>
        <v/>
      </c>
    </row>
    <row r="448">
      <c r="A448" t="inlineStr">
        <is>
          <t>2026-02-13</t>
        </is>
      </c>
      <c r="B448" t="inlineStr">
        <is>
          <t>S01</t>
        </is>
      </c>
      <c r="C448" t="inlineStr">
        <is>
          <t>piggery</t>
        </is>
      </c>
      <c r="D448" t="inlineStr">
        <is>
          <t>Vaccination</t>
        </is>
      </c>
      <c r="E448" t="n">
        <v>8</v>
      </c>
      <c r="F448" t="n">
        <v>0</v>
      </c>
      <c r="G448">
        <f>IFERROR(INDEX('01_STAFF'!$F:$F,MATCH(B448,'01_STAFF'!$A:$A,0))*E448,0)</f>
        <v/>
      </c>
    </row>
    <row r="449">
      <c r="A449" t="inlineStr">
        <is>
          <t>2026-02-13</t>
        </is>
      </c>
      <c r="B449" t="inlineStr">
        <is>
          <t>S02</t>
        </is>
      </c>
      <c r="C449" t="inlineStr">
        <is>
          <t>poultry</t>
        </is>
      </c>
      <c r="D449" t="inlineStr">
        <is>
          <t>Weighing</t>
        </is>
      </c>
      <c r="E449" t="n">
        <v>8</v>
      </c>
      <c r="F449" t="n">
        <v>0</v>
      </c>
      <c r="G449">
        <f>IFERROR(INDEX('01_STAFF'!$F:$F,MATCH(B449,'01_STAFF'!$A:$A,0))*E449,0)</f>
        <v/>
      </c>
    </row>
    <row r="450">
      <c r="A450" t="inlineStr">
        <is>
          <t>2026-02-13</t>
        </is>
      </c>
      <c r="B450" t="inlineStr">
        <is>
          <t>S03</t>
        </is>
      </c>
      <c r="C450" t="inlineStr">
        <is>
          <t>crops</t>
        </is>
      </c>
      <c r="D450" t="inlineStr">
        <is>
          <t>Land prep</t>
        </is>
      </c>
      <c r="E450" t="n">
        <v>8</v>
      </c>
      <c r="F450" t="n">
        <v>0</v>
      </c>
      <c r="G450">
        <f>IFERROR(INDEX('01_STAFF'!$F:$F,MATCH(B450,'01_STAFF'!$A:$A,0))*E450,0)</f>
        <v/>
      </c>
    </row>
    <row r="451">
      <c r="A451" t="inlineStr">
        <is>
          <t>2026-02-13</t>
        </is>
      </c>
      <c r="B451" t="inlineStr">
        <is>
          <t>S04</t>
        </is>
      </c>
      <c r="C451" t="inlineStr">
        <is>
          <t>shared</t>
        </is>
      </c>
      <c r="D451" t="inlineStr">
        <is>
          <t>Marketing</t>
        </is>
      </c>
      <c r="E451" t="n">
        <v>6</v>
      </c>
      <c r="F451" t="n">
        <v>0</v>
      </c>
      <c r="G451">
        <f>IFERROR(INDEX('01_STAFF'!$F:$F,MATCH(B451,'01_STAFF'!$A:$A,0))*E451,0)</f>
        <v/>
      </c>
    </row>
    <row r="452">
      <c r="A452" t="inlineStr">
        <is>
          <t>2026-02-14</t>
        </is>
      </c>
      <c r="B452" t="inlineStr">
        <is>
          <t>S01</t>
        </is>
      </c>
      <c r="C452" t="inlineStr">
        <is>
          <t>piggery</t>
        </is>
      </c>
      <c r="D452" t="inlineStr">
        <is>
          <t>Feeding</t>
        </is>
      </c>
      <c r="E452" t="n">
        <v>8</v>
      </c>
      <c r="F452" t="n">
        <v>0</v>
      </c>
      <c r="G452">
        <f>IFERROR(INDEX('01_STAFF'!$F:$F,MATCH(B452,'01_STAFF'!$A:$A,0))*E452,0)</f>
        <v/>
      </c>
    </row>
    <row r="453">
      <c r="A453" t="inlineStr">
        <is>
          <t>2026-02-14</t>
        </is>
      </c>
      <c r="B453" t="inlineStr">
        <is>
          <t>S02</t>
        </is>
      </c>
      <c r="C453" t="inlineStr">
        <is>
          <t>poultry</t>
        </is>
      </c>
      <c r="D453" t="inlineStr">
        <is>
          <t>Feeding</t>
        </is>
      </c>
      <c r="E453" t="n">
        <v>8</v>
      </c>
      <c r="F453" t="n">
        <v>1</v>
      </c>
      <c r="G453">
        <f>IFERROR(INDEX('01_STAFF'!$F:$F,MATCH(B453,'01_STAFF'!$A:$A,0))*E453,0)</f>
        <v/>
      </c>
    </row>
    <row r="454">
      <c r="A454" t="inlineStr">
        <is>
          <t>2026-02-14</t>
        </is>
      </c>
      <c r="B454" t="inlineStr">
        <is>
          <t>S03</t>
        </is>
      </c>
      <c r="C454" t="inlineStr">
        <is>
          <t>crops</t>
        </is>
      </c>
      <c r="D454" t="inlineStr">
        <is>
          <t>Harvest</t>
        </is>
      </c>
      <c r="E454" t="n">
        <v>8</v>
      </c>
      <c r="F454" t="n">
        <v>1</v>
      </c>
      <c r="G454">
        <f>IFERROR(INDEX('01_STAFF'!$F:$F,MATCH(B454,'01_STAFF'!$A:$A,0))*E454,0)</f>
        <v/>
      </c>
    </row>
    <row r="455">
      <c r="A455" t="inlineStr">
        <is>
          <t>2026-02-14</t>
        </is>
      </c>
      <c r="B455" t="inlineStr">
        <is>
          <t>S04</t>
        </is>
      </c>
      <c r="C455" t="inlineStr">
        <is>
          <t>shared</t>
        </is>
      </c>
      <c r="D455" t="inlineStr">
        <is>
          <t>Maintenance</t>
        </is>
      </c>
      <c r="E455" t="n">
        <v>6</v>
      </c>
      <c r="F455" t="n">
        <v>0</v>
      </c>
      <c r="G455">
        <f>IFERROR(INDEX('01_STAFF'!$F:$F,MATCH(B455,'01_STAFF'!$A:$A,0))*E455,0)</f>
        <v/>
      </c>
    </row>
    <row r="456">
      <c r="A456" t="inlineStr">
        <is>
          <t>2026-02-15</t>
        </is>
      </c>
      <c r="B456" t="inlineStr">
        <is>
          <t>S01</t>
        </is>
      </c>
      <c r="C456" t="inlineStr">
        <is>
          <t>piggery</t>
        </is>
      </c>
      <c r="D456" t="inlineStr">
        <is>
          <t>Feeding</t>
        </is>
      </c>
      <c r="E456" t="n">
        <v>8</v>
      </c>
      <c r="F456" t="n">
        <v>0</v>
      </c>
      <c r="G456">
        <f>IFERROR(INDEX('01_STAFF'!$F:$F,MATCH(B456,'01_STAFF'!$A:$A,0))*E456,0)</f>
        <v/>
      </c>
    </row>
    <row r="457">
      <c r="A457" t="inlineStr">
        <is>
          <t>2026-02-15</t>
        </is>
      </c>
      <c r="B457" t="inlineStr">
        <is>
          <t>S02</t>
        </is>
      </c>
      <c r="C457" t="inlineStr">
        <is>
          <t>poultry</t>
        </is>
      </c>
      <c r="D457" t="inlineStr">
        <is>
          <t>Cleaning</t>
        </is>
      </c>
      <c r="E457" t="n">
        <v>8</v>
      </c>
      <c r="F457" t="n">
        <v>0</v>
      </c>
      <c r="G457">
        <f>IFERROR(INDEX('01_STAFF'!$F:$F,MATCH(B457,'01_STAFF'!$A:$A,0))*E457,0)</f>
        <v/>
      </c>
    </row>
    <row r="458">
      <c r="A458" t="inlineStr">
        <is>
          <t>2026-02-15</t>
        </is>
      </c>
      <c r="B458" t="inlineStr">
        <is>
          <t>S03</t>
        </is>
      </c>
      <c r="C458" t="inlineStr">
        <is>
          <t>crops</t>
        </is>
      </c>
      <c r="D458" t="inlineStr">
        <is>
          <t>Spraying</t>
        </is>
      </c>
      <c r="E458" t="n">
        <v>8</v>
      </c>
      <c r="F458" t="n">
        <v>1</v>
      </c>
      <c r="G458">
        <f>IFERROR(INDEX('01_STAFF'!$F:$F,MATCH(B458,'01_STAFF'!$A:$A,0))*E458,0)</f>
        <v/>
      </c>
    </row>
    <row r="459">
      <c r="A459" t="inlineStr">
        <is>
          <t>2026-02-15</t>
        </is>
      </c>
      <c r="B459" t="inlineStr">
        <is>
          <t>S04</t>
        </is>
      </c>
      <c r="C459" t="inlineStr">
        <is>
          <t>shared</t>
        </is>
      </c>
      <c r="D459" t="inlineStr">
        <is>
          <t>Vaccination</t>
        </is>
      </c>
      <c r="E459" t="n">
        <v>7</v>
      </c>
      <c r="F459" t="n">
        <v>0</v>
      </c>
      <c r="G459">
        <f>IFERROR(INDEX('01_STAFF'!$F:$F,MATCH(B459,'01_STAFF'!$A:$A,0))*E459,0)</f>
        <v/>
      </c>
    </row>
    <row r="460">
      <c r="A460" t="inlineStr">
        <is>
          <t>2026-02-16</t>
        </is>
      </c>
      <c r="B460" t="inlineStr">
        <is>
          <t>S01</t>
        </is>
      </c>
      <c r="C460" t="inlineStr">
        <is>
          <t>piggery</t>
        </is>
      </c>
      <c r="D460" t="inlineStr">
        <is>
          <t>Cleaning</t>
        </is>
      </c>
      <c r="E460" t="n">
        <v>8</v>
      </c>
      <c r="F460" t="n">
        <v>0</v>
      </c>
      <c r="G460">
        <f>IFERROR(INDEX('01_STAFF'!$F:$F,MATCH(B460,'01_STAFF'!$A:$A,0))*E460,0)</f>
        <v/>
      </c>
    </row>
    <row r="461">
      <c r="A461" t="inlineStr">
        <is>
          <t>2026-02-16</t>
        </is>
      </c>
      <c r="B461" t="inlineStr">
        <is>
          <t>S03</t>
        </is>
      </c>
      <c r="C461" t="inlineStr">
        <is>
          <t>crops</t>
        </is>
      </c>
      <c r="D461" t="inlineStr">
        <is>
          <t>Land prep</t>
        </is>
      </c>
      <c r="E461" t="n">
        <v>8</v>
      </c>
      <c r="F461" t="n">
        <v>0</v>
      </c>
      <c r="G461">
        <f>IFERROR(INDEX('01_STAFF'!$F:$F,MATCH(B461,'01_STAFF'!$A:$A,0))*E461,0)</f>
        <v/>
      </c>
    </row>
    <row r="462">
      <c r="A462" t="inlineStr">
        <is>
          <t>2026-02-16</t>
        </is>
      </c>
      <c r="B462" t="inlineStr">
        <is>
          <t>S04</t>
        </is>
      </c>
      <c r="C462" t="inlineStr">
        <is>
          <t>shared</t>
        </is>
      </c>
      <c r="D462" t="inlineStr">
        <is>
          <t>Vaccination</t>
        </is>
      </c>
      <c r="E462" t="n">
        <v>5</v>
      </c>
      <c r="F462" t="n">
        <v>0</v>
      </c>
      <c r="G462">
        <f>IFERROR(INDEX('01_STAFF'!$F:$F,MATCH(B462,'01_STAFF'!$A:$A,0))*E462,0)</f>
        <v/>
      </c>
    </row>
    <row r="463">
      <c r="A463" t="inlineStr">
        <is>
          <t>2026-02-17</t>
        </is>
      </c>
      <c r="B463" t="inlineStr">
        <is>
          <t>S02</t>
        </is>
      </c>
      <c r="C463" t="inlineStr">
        <is>
          <t>poultry</t>
        </is>
      </c>
      <c r="D463" t="inlineStr">
        <is>
          <t>Cleaning</t>
        </is>
      </c>
      <c r="E463" t="n">
        <v>8</v>
      </c>
      <c r="F463" t="n">
        <v>0</v>
      </c>
      <c r="G463">
        <f>IFERROR(INDEX('01_STAFF'!$F:$F,MATCH(B463,'01_STAFF'!$A:$A,0))*E463,0)</f>
        <v/>
      </c>
    </row>
    <row r="464">
      <c r="A464" t="inlineStr">
        <is>
          <t>2026-02-17</t>
        </is>
      </c>
      <c r="B464" t="inlineStr">
        <is>
          <t>S03</t>
        </is>
      </c>
      <c r="C464" t="inlineStr">
        <is>
          <t>crops</t>
        </is>
      </c>
      <c r="D464" t="inlineStr">
        <is>
          <t>Harvest</t>
        </is>
      </c>
      <c r="E464" t="n">
        <v>8</v>
      </c>
      <c r="F464" t="n">
        <v>0</v>
      </c>
      <c r="G464">
        <f>IFERROR(INDEX('01_STAFF'!$F:$F,MATCH(B464,'01_STAFF'!$A:$A,0))*E464,0)</f>
        <v/>
      </c>
    </row>
    <row r="465">
      <c r="A465" t="inlineStr">
        <is>
          <t>2026-02-17</t>
        </is>
      </c>
      <c r="B465" t="inlineStr">
        <is>
          <t>S04</t>
        </is>
      </c>
      <c r="C465" t="inlineStr">
        <is>
          <t>shared</t>
        </is>
      </c>
      <c r="D465" t="inlineStr">
        <is>
          <t>Weighing</t>
        </is>
      </c>
      <c r="E465" t="n">
        <v>6</v>
      </c>
      <c r="F465" t="n">
        <v>0</v>
      </c>
      <c r="G465">
        <f>IFERROR(INDEX('01_STAFF'!$F:$F,MATCH(B465,'01_STAFF'!$A:$A,0))*E465,0)</f>
        <v/>
      </c>
    </row>
    <row r="466">
      <c r="A466" t="inlineStr">
        <is>
          <t>2026-02-18</t>
        </is>
      </c>
      <c r="B466" t="inlineStr">
        <is>
          <t>S01</t>
        </is>
      </c>
      <c r="C466" t="inlineStr">
        <is>
          <t>piggery</t>
        </is>
      </c>
      <c r="D466" t="inlineStr">
        <is>
          <t>Vaccination</t>
        </is>
      </c>
      <c r="E466" t="n">
        <v>8</v>
      </c>
      <c r="F466" t="n">
        <v>0</v>
      </c>
      <c r="G466">
        <f>IFERROR(INDEX('01_STAFF'!$F:$F,MATCH(B466,'01_STAFF'!$A:$A,0))*E466,0)</f>
        <v/>
      </c>
    </row>
    <row r="467">
      <c r="A467" t="inlineStr">
        <is>
          <t>2026-02-18</t>
        </is>
      </c>
      <c r="B467" t="inlineStr">
        <is>
          <t>S02</t>
        </is>
      </c>
      <c r="C467" t="inlineStr">
        <is>
          <t>poultry</t>
        </is>
      </c>
      <c r="D467" t="inlineStr">
        <is>
          <t>Vaccination</t>
        </is>
      </c>
      <c r="E467" t="n">
        <v>8</v>
      </c>
      <c r="F467" t="n">
        <v>0</v>
      </c>
      <c r="G467">
        <f>IFERROR(INDEX('01_STAFF'!$F:$F,MATCH(B467,'01_STAFF'!$A:$A,0))*E467,0)</f>
        <v/>
      </c>
    </row>
    <row r="468">
      <c r="A468" t="inlineStr">
        <is>
          <t>2026-02-18</t>
        </is>
      </c>
      <c r="B468" t="inlineStr">
        <is>
          <t>S03</t>
        </is>
      </c>
      <c r="C468" t="inlineStr">
        <is>
          <t>crops</t>
        </is>
      </c>
      <c r="D468" t="inlineStr">
        <is>
          <t>Land prep</t>
        </is>
      </c>
      <c r="E468" t="n">
        <v>8</v>
      </c>
      <c r="F468" t="n">
        <v>0</v>
      </c>
      <c r="G468">
        <f>IFERROR(INDEX('01_STAFF'!$F:$F,MATCH(B468,'01_STAFF'!$A:$A,0))*E468,0)</f>
        <v/>
      </c>
    </row>
    <row r="469">
      <c r="A469" t="inlineStr">
        <is>
          <t>2026-02-18</t>
        </is>
      </c>
      <c r="B469" t="inlineStr">
        <is>
          <t>S04</t>
        </is>
      </c>
      <c r="C469" t="inlineStr">
        <is>
          <t>shared</t>
        </is>
      </c>
      <c r="D469" t="inlineStr">
        <is>
          <t>Weighing</t>
        </is>
      </c>
      <c r="E469" t="n">
        <v>7</v>
      </c>
      <c r="F469" t="n">
        <v>0</v>
      </c>
      <c r="G469">
        <f>IFERROR(INDEX('01_STAFF'!$F:$F,MATCH(B469,'01_STAFF'!$A:$A,0))*E469,0)</f>
        <v/>
      </c>
    </row>
    <row r="470">
      <c r="A470" t="inlineStr">
        <is>
          <t>2026-02-19</t>
        </is>
      </c>
      <c r="B470" t="inlineStr">
        <is>
          <t>S01</t>
        </is>
      </c>
      <c r="C470" t="inlineStr">
        <is>
          <t>piggery</t>
        </is>
      </c>
      <c r="D470" t="inlineStr">
        <is>
          <t>Feeding</t>
        </is>
      </c>
      <c r="E470" t="n">
        <v>8</v>
      </c>
      <c r="F470" t="n">
        <v>1</v>
      </c>
      <c r="G470">
        <f>IFERROR(INDEX('01_STAFF'!$F:$F,MATCH(B470,'01_STAFF'!$A:$A,0))*E470,0)</f>
        <v/>
      </c>
    </row>
    <row r="471">
      <c r="A471" t="inlineStr">
        <is>
          <t>2026-02-19</t>
        </is>
      </c>
      <c r="B471" t="inlineStr">
        <is>
          <t>S02</t>
        </is>
      </c>
      <c r="C471" t="inlineStr">
        <is>
          <t>poultry</t>
        </is>
      </c>
      <c r="D471" t="inlineStr">
        <is>
          <t>Vaccination</t>
        </is>
      </c>
      <c r="E471" t="n">
        <v>8</v>
      </c>
      <c r="F471" t="n">
        <v>0</v>
      </c>
      <c r="G471">
        <f>IFERROR(INDEX('01_STAFF'!$F:$F,MATCH(B471,'01_STAFF'!$A:$A,0))*E471,0)</f>
        <v/>
      </c>
    </row>
    <row r="472">
      <c r="A472" t="inlineStr">
        <is>
          <t>2026-02-19</t>
        </is>
      </c>
      <c r="B472" t="inlineStr">
        <is>
          <t>S03</t>
        </is>
      </c>
      <c r="C472" t="inlineStr">
        <is>
          <t>crops</t>
        </is>
      </c>
      <c r="D472" t="inlineStr">
        <is>
          <t>Spraying</t>
        </is>
      </c>
      <c r="E472" t="n">
        <v>8</v>
      </c>
      <c r="F472" t="n">
        <v>0</v>
      </c>
      <c r="G472">
        <f>IFERROR(INDEX('01_STAFF'!$F:$F,MATCH(B472,'01_STAFF'!$A:$A,0))*E472,0)</f>
        <v/>
      </c>
    </row>
    <row r="473">
      <c r="A473" t="inlineStr">
        <is>
          <t>2026-02-19</t>
        </is>
      </c>
      <c r="B473" t="inlineStr">
        <is>
          <t>S04</t>
        </is>
      </c>
      <c r="C473" t="inlineStr">
        <is>
          <t>shared</t>
        </is>
      </c>
      <c r="D473" t="inlineStr">
        <is>
          <t>Marketing</t>
        </is>
      </c>
      <c r="E473" t="n">
        <v>6</v>
      </c>
      <c r="F473" t="n">
        <v>0</v>
      </c>
      <c r="G473">
        <f>IFERROR(INDEX('01_STAFF'!$F:$F,MATCH(B473,'01_STAFF'!$A:$A,0))*E473,0)</f>
        <v/>
      </c>
    </row>
    <row r="474">
      <c r="A474" t="inlineStr">
        <is>
          <t>2026-02-20</t>
        </is>
      </c>
      <c r="B474" t="inlineStr">
        <is>
          <t>S01</t>
        </is>
      </c>
      <c r="C474" t="inlineStr">
        <is>
          <t>piggery</t>
        </is>
      </c>
      <c r="D474" t="inlineStr">
        <is>
          <t>Cleaning</t>
        </is>
      </c>
      <c r="E474" t="n">
        <v>8</v>
      </c>
      <c r="F474" t="n">
        <v>0</v>
      </c>
      <c r="G474">
        <f>IFERROR(INDEX('01_STAFF'!$F:$F,MATCH(B474,'01_STAFF'!$A:$A,0))*E474,0)</f>
        <v/>
      </c>
    </row>
    <row r="475">
      <c r="A475" t="inlineStr">
        <is>
          <t>2026-02-20</t>
        </is>
      </c>
      <c r="B475" t="inlineStr">
        <is>
          <t>S02</t>
        </is>
      </c>
      <c r="C475" t="inlineStr">
        <is>
          <t>poultry</t>
        </is>
      </c>
      <c r="D475" t="inlineStr">
        <is>
          <t>Vaccination</t>
        </is>
      </c>
      <c r="E475" t="n">
        <v>8</v>
      </c>
      <c r="F475" t="n">
        <v>0</v>
      </c>
      <c r="G475">
        <f>IFERROR(INDEX('01_STAFF'!$F:$F,MATCH(B475,'01_STAFF'!$A:$A,0))*E475,0)</f>
        <v/>
      </c>
    </row>
    <row r="476">
      <c r="A476" t="inlineStr">
        <is>
          <t>2026-02-20</t>
        </is>
      </c>
      <c r="B476" t="inlineStr">
        <is>
          <t>S03</t>
        </is>
      </c>
      <c r="C476" t="inlineStr">
        <is>
          <t>crops</t>
        </is>
      </c>
      <c r="D476" t="inlineStr">
        <is>
          <t>Land prep</t>
        </is>
      </c>
      <c r="E476" t="n">
        <v>8</v>
      </c>
      <c r="F476" t="n">
        <v>0</v>
      </c>
      <c r="G476">
        <f>IFERROR(INDEX('01_STAFF'!$F:$F,MATCH(B476,'01_STAFF'!$A:$A,0))*E476,0)</f>
        <v/>
      </c>
    </row>
    <row r="477">
      <c r="A477" t="inlineStr">
        <is>
          <t>2026-02-20</t>
        </is>
      </c>
      <c r="B477" t="inlineStr">
        <is>
          <t>S04</t>
        </is>
      </c>
      <c r="C477" t="inlineStr">
        <is>
          <t>shared</t>
        </is>
      </c>
      <c r="D477" t="inlineStr">
        <is>
          <t>Maintenance</t>
        </is>
      </c>
      <c r="E477" t="n">
        <v>6</v>
      </c>
      <c r="F477" t="n">
        <v>0</v>
      </c>
      <c r="G477">
        <f>IFERROR(INDEX('01_STAFF'!$F:$F,MATCH(B477,'01_STAFF'!$A:$A,0))*E477,0)</f>
        <v/>
      </c>
    </row>
    <row r="478">
      <c r="A478" t="inlineStr">
        <is>
          <t>2026-02-21</t>
        </is>
      </c>
      <c r="B478" t="inlineStr">
        <is>
          <t>S01</t>
        </is>
      </c>
      <c r="C478" t="inlineStr">
        <is>
          <t>piggery</t>
        </is>
      </c>
      <c r="D478" t="inlineStr">
        <is>
          <t>Feeding</t>
        </is>
      </c>
      <c r="E478" t="n">
        <v>8</v>
      </c>
      <c r="F478" t="n">
        <v>0</v>
      </c>
      <c r="G478">
        <f>IFERROR(INDEX('01_STAFF'!$F:$F,MATCH(B478,'01_STAFF'!$A:$A,0))*E478,0)</f>
        <v/>
      </c>
    </row>
    <row r="479">
      <c r="A479" t="inlineStr">
        <is>
          <t>2026-02-21</t>
        </is>
      </c>
      <c r="B479" t="inlineStr">
        <is>
          <t>S02</t>
        </is>
      </c>
      <c r="C479" t="inlineStr">
        <is>
          <t>poultry</t>
        </is>
      </c>
      <c r="D479" t="inlineStr">
        <is>
          <t>Feeding</t>
        </is>
      </c>
      <c r="E479" t="n">
        <v>8</v>
      </c>
      <c r="F479" t="n">
        <v>0</v>
      </c>
      <c r="G479">
        <f>IFERROR(INDEX('01_STAFF'!$F:$F,MATCH(B479,'01_STAFF'!$A:$A,0))*E479,0)</f>
        <v/>
      </c>
    </row>
    <row r="480">
      <c r="A480" t="inlineStr">
        <is>
          <t>2026-02-21</t>
        </is>
      </c>
      <c r="B480" t="inlineStr">
        <is>
          <t>S03</t>
        </is>
      </c>
      <c r="C480" t="inlineStr">
        <is>
          <t>crops</t>
        </is>
      </c>
      <c r="D480" t="inlineStr">
        <is>
          <t>Weeding</t>
        </is>
      </c>
      <c r="E480" t="n">
        <v>8</v>
      </c>
      <c r="F480" t="n">
        <v>1</v>
      </c>
      <c r="G480">
        <f>IFERROR(INDEX('01_STAFF'!$F:$F,MATCH(B480,'01_STAFF'!$A:$A,0))*E480,0)</f>
        <v/>
      </c>
    </row>
    <row r="481">
      <c r="A481" t="inlineStr">
        <is>
          <t>2026-02-21</t>
        </is>
      </c>
      <c r="B481" t="inlineStr">
        <is>
          <t>S04</t>
        </is>
      </c>
      <c r="C481" t="inlineStr">
        <is>
          <t>shared</t>
        </is>
      </c>
      <c r="D481" t="inlineStr">
        <is>
          <t>Vaccination</t>
        </is>
      </c>
      <c r="E481" t="n">
        <v>5</v>
      </c>
      <c r="F481" t="n">
        <v>0</v>
      </c>
      <c r="G481">
        <f>IFERROR(INDEX('01_STAFF'!$F:$F,MATCH(B481,'01_STAFF'!$A:$A,0))*E481,0)</f>
        <v/>
      </c>
    </row>
    <row r="482">
      <c r="A482" t="inlineStr">
        <is>
          <t>2026-02-23</t>
        </is>
      </c>
      <c r="B482" t="inlineStr">
        <is>
          <t>S01</t>
        </is>
      </c>
      <c r="C482" t="inlineStr">
        <is>
          <t>piggery</t>
        </is>
      </c>
      <c r="D482" t="inlineStr">
        <is>
          <t>Vaccination</t>
        </is>
      </c>
      <c r="E482" t="n">
        <v>8</v>
      </c>
      <c r="F482" t="n">
        <v>0</v>
      </c>
      <c r="G482">
        <f>IFERROR(INDEX('01_STAFF'!$F:$F,MATCH(B482,'01_STAFF'!$A:$A,0))*E482,0)</f>
        <v/>
      </c>
    </row>
    <row r="483">
      <c r="A483" t="inlineStr">
        <is>
          <t>2026-02-23</t>
        </is>
      </c>
      <c r="B483" t="inlineStr">
        <is>
          <t>S02</t>
        </is>
      </c>
      <c r="C483" t="inlineStr">
        <is>
          <t>poultry</t>
        </is>
      </c>
      <c r="D483" t="inlineStr">
        <is>
          <t>Weighing</t>
        </is>
      </c>
      <c r="E483" t="n">
        <v>8</v>
      </c>
      <c r="F483" t="n">
        <v>0</v>
      </c>
      <c r="G483">
        <f>IFERROR(INDEX('01_STAFF'!$F:$F,MATCH(B483,'01_STAFF'!$A:$A,0))*E483,0)</f>
        <v/>
      </c>
    </row>
    <row r="484">
      <c r="A484" t="inlineStr">
        <is>
          <t>2026-02-23</t>
        </is>
      </c>
      <c r="B484" t="inlineStr">
        <is>
          <t>S03</t>
        </is>
      </c>
      <c r="C484" t="inlineStr">
        <is>
          <t>crops</t>
        </is>
      </c>
      <c r="D484" t="inlineStr">
        <is>
          <t>Harvest</t>
        </is>
      </c>
      <c r="E484" t="n">
        <v>8</v>
      </c>
      <c r="F484" t="n">
        <v>0</v>
      </c>
      <c r="G484">
        <f>IFERROR(INDEX('01_STAFF'!$F:$F,MATCH(B484,'01_STAFF'!$A:$A,0))*E484,0)</f>
        <v/>
      </c>
    </row>
    <row r="485">
      <c r="A485" t="inlineStr">
        <is>
          <t>2026-02-23</t>
        </is>
      </c>
      <c r="B485" t="inlineStr">
        <is>
          <t>S04</t>
        </is>
      </c>
      <c r="C485" t="inlineStr">
        <is>
          <t>shared</t>
        </is>
      </c>
      <c r="D485" t="inlineStr">
        <is>
          <t>Weighing</t>
        </is>
      </c>
      <c r="E485" t="n">
        <v>7</v>
      </c>
      <c r="F485" t="n">
        <v>0</v>
      </c>
      <c r="G485">
        <f>IFERROR(INDEX('01_STAFF'!$F:$F,MATCH(B485,'01_STAFF'!$A:$A,0))*E485,0)</f>
        <v/>
      </c>
    </row>
    <row r="486">
      <c r="A486" t="inlineStr">
        <is>
          <t>2026-02-24</t>
        </is>
      </c>
      <c r="B486" t="inlineStr">
        <is>
          <t>S01</t>
        </is>
      </c>
      <c r="C486" t="inlineStr">
        <is>
          <t>piggery</t>
        </is>
      </c>
      <c r="D486" t="inlineStr">
        <is>
          <t>Vaccination</t>
        </is>
      </c>
      <c r="E486" t="n">
        <v>8</v>
      </c>
      <c r="F486" t="n">
        <v>0</v>
      </c>
      <c r="G486">
        <f>IFERROR(INDEX('01_STAFF'!$F:$F,MATCH(B486,'01_STAFF'!$A:$A,0))*E486,0)</f>
        <v/>
      </c>
    </row>
    <row r="487">
      <c r="A487" t="inlineStr">
        <is>
          <t>2026-02-24</t>
        </is>
      </c>
      <c r="B487" t="inlineStr">
        <is>
          <t>S02</t>
        </is>
      </c>
      <c r="C487" t="inlineStr">
        <is>
          <t>poultry</t>
        </is>
      </c>
      <c r="D487" t="inlineStr">
        <is>
          <t>Vaccination</t>
        </is>
      </c>
      <c r="E487" t="n">
        <v>8</v>
      </c>
      <c r="F487" t="n">
        <v>0</v>
      </c>
      <c r="G487">
        <f>IFERROR(INDEX('01_STAFF'!$F:$F,MATCH(B487,'01_STAFF'!$A:$A,0))*E487,0)</f>
        <v/>
      </c>
    </row>
    <row r="488">
      <c r="A488" t="inlineStr">
        <is>
          <t>2026-02-24</t>
        </is>
      </c>
      <c r="B488" t="inlineStr">
        <is>
          <t>S03</t>
        </is>
      </c>
      <c r="C488" t="inlineStr">
        <is>
          <t>crops</t>
        </is>
      </c>
      <c r="D488" t="inlineStr">
        <is>
          <t>Land prep</t>
        </is>
      </c>
      <c r="E488" t="n">
        <v>8</v>
      </c>
      <c r="F488" t="n">
        <v>1</v>
      </c>
      <c r="G488">
        <f>IFERROR(INDEX('01_STAFF'!$F:$F,MATCH(B488,'01_STAFF'!$A:$A,0))*E488,0)</f>
        <v/>
      </c>
    </row>
    <row r="489">
      <c r="A489" t="inlineStr">
        <is>
          <t>2026-02-25</t>
        </is>
      </c>
      <c r="B489" t="inlineStr">
        <is>
          <t>S02</t>
        </is>
      </c>
      <c r="C489" t="inlineStr">
        <is>
          <t>poultry</t>
        </is>
      </c>
      <c r="D489" t="inlineStr">
        <is>
          <t>Cleaning</t>
        </is>
      </c>
      <c r="E489" t="n">
        <v>8</v>
      </c>
      <c r="F489" t="n">
        <v>0</v>
      </c>
      <c r="G489">
        <f>IFERROR(INDEX('01_STAFF'!$F:$F,MATCH(B489,'01_STAFF'!$A:$A,0))*E489,0)</f>
        <v/>
      </c>
    </row>
    <row r="490">
      <c r="A490" t="inlineStr">
        <is>
          <t>2026-02-25</t>
        </is>
      </c>
      <c r="B490" t="inlineStr">
        <is>
          <t>S03</t>
        </is>
      </c>
      <c r="C490" t="inlineStr">
        <is>
          <t>crops</t>
        </is>
      </c>
      <c r="D490" t="inlineStr">
        <is>
          <t>Weeding</t>
        </is>
      </c>
      <c r="E490" t="n">
        <v>8</v>
      </c>
      <c r="F490" t="n">
        <v>0</v>
      </c>
      <c r="G490">
        <f>IFERROR(INDEX('01_STAFF'!$F:$F,MATCH(B490,'01_STAFF'!$A:$A,0))*E490,0)</f>
        <v/>
      </c>
    </row>
    <row r="491">
      <c r="A491" t="inlineStr">
        <is>
          <t>2026-02-25</t>
        </is>
      </c>
      <c r="B491" t="inlineStr">
        <is>
          <t>S04</t>
        </is>
      </c>
      <c r="C491" t="inlineStr">
        <is>
          <t>shared</t>
        </is>
      </c>
      <c r="D491" t="inlineStr">
        <is>
          <t>Maintenance</t>
        </is>
      </c>
      <c r="E491" t="n">
        <v>6</v>
      </c>
      <c r="F491" t="n">
        <v>0</v>
      </c>
      <c r="G491">
        <f>IFERROR(INDEX('01_STAFF'!$F:$F,MATCH(B491,'01_STAFF'!$A:$A,0))*E491,0)</f>
        <v/>
      </c>
    </row>
    <row r="492">
      <c r="A492" t="inlineStr">
        <is>
          <t>2026-02-26</t>
        </is>
      </c>
      <c r="B492" t="inlineStr">
        <is>
          <t>S01</t>
        </is>
      </c>
      <c r="C492" t="inlineStr">
        <is>
          <t>piggery</t>
        </is>
      </c>
      <c r="D492" t="inlineStr">
        <is>
          <t>Vaccination</t>
        </is>
      </c>
      <c r="E492" t="n">
        <v>8</v>
      </c>
      <c r="F492" t="n">
        <v>0</v>
      </c>
      <c r="G492">
        <f>IFERROR(INDEX('01_STAFF'!$F:$F,MATCH(B492,'01_STAFF'!$A:$A,0))*E492,0)</f>
        <v/>
      </c>
    </row>
    <row r="493">
      <c r="A493" t="inlineStr">
        <is>
          <t>2026-02-26</t>
        </is>
      </c>
      <c r="B493" t="inlineStr">
        <is>
          <t>S02</t>
        </is>
      </c>
      <c r="C493" t="inlineStr">
        <is>
          <t>poultry</t>
        </is>
      </c>
      <c r="D493" t="inlineStr">
        <is>
          <t>Vaccination</t>
        </is>
      </c>
      <c r="E493" t="n">
        <v>8</v>
      </c>
      <c r="F493" t="n">
        <v>0</v>
      </c>
      <c r="G493">
        <f>IFERROR(INDEX('01_STAFF'!$F:$F,MATCH(B493,'01_STAFF'!$A:$A,0))*E493,0)</f>
        <v/>
      </c>
    </row>
    <row r="494">
      <c r="A494" t="inlineStr">
        <is>
          <t>2026-02-26</t>
        </is>
      </c>
      <c r="B494" t="inlineStr">
        <is>
          <t>S03</t>
        </is>
      </c>
      <c r="C494" t="inlineStr">
        <is>
          <t>crops</t>
        </is>
      </c>
      <c r="D494" t="inlineStr">
        <is>
          <t>Maintenance</t>
        </is>
      </c>
      <c r="E494" t="n">
        <v>8</v>
      </c>
      <c r="F494" t="n">
        <v>0</v>
      </c>
      <c r="G494">
        <f>IFERROR(INDEX('01_STAFF'!$F:$F,MATCH(B494,'01_STAFF'!$A:$A,0))*E494,0)</f>
        <v/>
      </c>
    </row>
    <row r="495">
      <c r="A495" t="inlineStr">
        <is>
          <t>2026-02-26</t>
        </is>
      </c>
      <c r="B495" t="inlineStr">
        <is>
          <t>S04</t>
        </is>
      </c>
      <c r="C495" t="inlineStr">
        <is>
          <t>shared</t>
        </is>
      </c>
      <c r="D495" t="inlineStr">
        <is>
          <t>Maintenance</t>
        </is>
      </c>
      <c r="E495" t="n">
        <v>7</v>
      </c>
      <c r="F495" t="n">
        <v>0</v>
      </c>
      <c r="G495">
        <f>IFERROR(INDEX('01_STAFF'!$F:$F,MATCH(B495,'01_STAFF'!$A:$A,0))*E495,0)</f>
        <v/>
      </c>
    </row>
    <row r="496">
      <c r="A496" t="inlineStr">
        <is>
          <t>2026-02-27</t>
        </is>
      </c>
      <c r="B496" t="inlineStr">
        <is>
          <t>S01</t>
        </is>
      </c>
      <c r="C496" t="inlineStr">
        <is>
          <t>piggery</t>
        </is>
      </c>
      <c r="D496" t="inlineStr">
        <is>
          <t>Vaccination</t>
        </is>
      </c>
      <c r="E496" t="n">
        <v>8</v>
      </c>
      <c r="F496" t="n">
        <v>0</v>
      </c>
      <c r="G496">
        <f>IFERROR(INDEX('01_STAFF'!$F:$F,MATCH(B496,'01_STAFF'!$A:$A,0))*E496,0)</f>
        <v/>
      </c>
    </row>
    <row r="497">
      <c r="A497" t="inlineStr">
        <is>
          <t>2026-02-27</t>
        </is>
      </c>
      <c r="B497" t="inlineStr">
        <is>
          <t>S02</t>
        </is>
      </c>
      <c r="C497" t="inlineStr">
        <is>
          <t>poultry</t>
        </is>
      </c>
      <c r="D497" t="inlineStr">
        <is>
          <t>Vaccination</t>
        </is>
      </c>
      <c r="E497" t="n">
        <v>8</v>
      </c>
      <c r="F497" t="n">
        <v>1</v>
      </c>
      <c r="G497">
        <f>IFERROR(INDEX('01_STAFF'!$F:$F,MATCH(B497,'01_STAFF'!$A:$A,0))*E497,0)</f>
        <v/>
      </c>
    </row>
    <row r="498">
      <c r="A498" t="inlineStr">
        <is>
          <t>2026-02-27</t>
        </is>
      </c>
      <c r="B498" t="inlineStr">
        <is>
          <t>S03</t>
        </is>
      </c>
      <c r="C498" t="inlineStr">
        <is>
          <t>crops</t>
        </is>
      </c>
      <c r="D498" t="inlineStr">
        <is>
          <t>Spraying</t>
        </is>
      </c>
      <c r="E498" t="n">
        <v>8</v>
      </c>
      <c r="F498" t="n">
        <v>0</v>
      </c>
      <c r="G498">
        <f>IFERROR(INDEX('01_STAFF'!$F:$F,MATCH(B498,'01_STAFF'!$A:$A,0))*E498,0)</f>
        <v/>
      </c>
    </row>
    <row r="499">
      <c r="A499" t="inlineStr">
        <is>
          <t>2026-02-27</t>
        </is>
      </c>
      <c r="B499" t="inlineStr">
        <is>
          <t>S04</t>
        </is>
      </c>
      <c r="C499" t="inlineStr">
        <is>
          <t>shared</t>
        </is>
      </c>
      <c r="D499" t="inlineStr">
        <is>
          <t>Weighing</t>
        </is>
      </c>
      <c r="E499" t="n">
        <v>5</v>
      </c>
      <c r="F499" t="n">
        <v>0</v>
      </c>
      <c r="G499">
        <f>IFERROR(INDEX('01_STAFF'!$F:$F,MATCH(B499,'01_STAFF'!$A:$A,0))*E499,0)</f>
        <v/>
      </c>
    </row>
    <row r="500">
      <c r="A500" t="inlineStr">
        <is>
          <t>2026-02-28</t>
        </is>
      </c>
      <c r="B500" t="inlineStr">
        <is>
          <t>S01</t>
        </is>
      </c>
      <c r="C500" t="inlineStr">
        <is>
          <t>piggery</t>
        </is>
      </c>
      <c r="D500" t="inlineStr">
        <is>
          <t>Feeding</t>
        </is>
      </c>
      <c r="E500" t="n">
        <v>8</v>
      </c>
      <c r="F500" t="n">
        <v>0</v>
      </c>
      <c r="G500">
        <f>IFERROR(INDEX('01_STAFF'!$F:$F,MATCH(B500,'01_STAFF'!$A:$A,0))*E500,0)</f>
        <v/>
      </c>
    </row>
    <row r="501">
      <c r="A501" t="inlineStr">
        <is>
          <t>2026-02-28</t>
        </is>
      </c>
      <c r="B501" t="inlineStr">
        <is>
          <t>S02</t>
        </is>
      </c>
      <c r="C501" t="inlineStr">
        <is>
          <t>poultry</t>
        </is>
      </c>
      <c r="D501" t="inlineStr">
        <is>
          <t>Vaccination</t>
        </is>
      </c>
      <c r="E501" t="n">
        <v>8</v>
      </c>
      <c r="F501" t="n">
        <v>0</v>
      </c>
      <c r="G501">
        <f>IFERROR(INDEX('01_STAFF'!$F:$F,MATCH(B501,'01_STAFF'!$A:$A,0))*E501,0)</f>
        <v/>
      </c>
    </row>
    <row r="502">
      <c r="A502" t="inlineStr">
        <is>
          <t>2026-02-28</t>
        </is>
      </c>
      <c r="B502" t="inlineStr">
        <is>
          <t>S03</t>
        </is>
      </c>
      <c r="C502" t="inlineStr">
        <is>
          <t>crops</t>
        </is>
      </c>
      <c r="D502" t="inlineStr">
        <is>
          <t>Maintenance</t>
        </is>
      </c>
      <c r="E502" t="n">
        <v>8</v>
      </c>
      <c r="F502" t="n">
        <v>1</v>
      </c>
      <c r="G502">
        <f>IFERROR(INDEX('01_STAFF'!$F:$F,MATCH(B502,'01_STAFF'!$A:$A,0))*E502,0)</f>
        <v/>
      </c>
    </row>
    <row r="503">
      <c r="A503" t="inlineStr">
        <is>
          <t>2026-02-28</t>
        </is>
      </c>
      <c r="B503" t="inlineStr">
        <is>
          <t>S04</t>
        </is>
      </c>
      <c r="C503" t="inlineStr">
        <is>
          <t>shared</t>
        </is>
      </c>
      <c r="D503" t="inlineStr">
        <is>
          <t>Weighing</t>
        </is>
      </c>
      <c r="E503" t="n">
        <v>6</v>
      </c>
      <c r="F503" t="n">
        <v>0</v>
      </c>
      <c r="G503">
        <f>IFERROR(INDEX('01_STAFF'!$F:$F,MATCH(B503,'01_STAFF'!$A:$A,0))*E503,0)</f>
        <v/>
      </c>
    </row>
    <row r="504">
      <c r="A504" t="inlineStr">
        <is>
          <t>2026-03-02</t>
        </is>
      </c>
      <c r="B504" t="inlineStr">
        <is>
          <t>S01</t>
        </is>
      </c>
      <c r="C504" t="inlineStr">
        <is>
          <t>piggery</t>
        </is>
      </c>
      <c r="D504" t="inlineStr">
        <is>
          <t>Feeding</t>
        </is>
      </c>
      <c r="E504" t="n">
        <v>8</v>
      </c>
      <c r="F504" t="n">
        <v>0</v>
      </c>
      <c r="G504">
        <f>IFERROR(INDEX('01_STAFF'!$F:$F,MATCH(B504,'01_STAFF'!$A:$A,0))*E504,0)</f>
        <v/>
      </c>
    </row>
    <row r="505">
      <c r="A505" t="inlineStr">
        <is>
          <t>2026-03-02</t>
        </is>
      </c>
      <c r="B505" t="inlineStr">
        <is>
          <t>S02</t>
        </is>
      </c>
      <c r="C505" t="inlineStr">
        <is>
          <t>poultry</t>
        </is>
      </c>
      <c r="D505" t="inlineStr">
        <is>
          <t>Weighing</t>
        </is>
      </c>
      <c r="E505" t="n">
        <v>8</v>
      </c>
      <c r="F505" t="n">
        <v>0</v>
      </c>
      <c r="G505">
        <f>IFERROR(INDEX('01_STAFF'!$F:$F,MATCH(B505,'01_STAFF'!$A:$A,0))*E505,0)</f>
        <v/>
      </c>
    </row>
    <row r="506">
      <c r="A506" t="inlineStr">
        <is>
          <t>2026-03-02</t>
        </is>
      </c>
      <c r="B506" t="inlineStr">
        <is>
          <t>S03</t>
        </is>
      </c>
      <c r="C506" t="inlineStr">
        <is>
          <t>crops</t>
        </is>
      </c>
      <c r="D506" t="inlineStr">
        <is>
          <t>Land prep</t>
        </is>
      </c>
      <c r="E506" t="n">
        <v>8</v>
      </c>
      <c r="F506" t="n">
        <v>0</v>
      </c>
      <c r="G506">
        <f>IFERROR(INDEX('01_STAFF'!$F:$F,MATCH(B506,'01_STAFF'!$A:$A,0))*E506,0)</f>
        <v/>
      </c>
    </row>
    <row r="507">
      <c r="A507" t="inlineStr">
        <is>
          <t>2026-03-02</t>
        </is>
      </c>
      <c r="B507" t="inlineStr">
        <is>
          <t>S04</t>
        </is>
      </c>
      <c r="C507" t="inlineStr">
        <is>
          <t>shared</t>
        </is>
      </c>
      <c r="D507" t="inlineStr">
        <is>
          <t>Weighing</t>
        </is>
      </c>
      <c r="E507" t="n">
        <v>5</v>
      </c>
      <c r="F507" t="n">
        <v>0</v>
      </c>
      <c r="G507">
        <f>IFERROR(INDEX('01_STAFF'!$F:$F,MATCH(B507,'01_STAFF'!$A:$A,0))*E507,0)</f>
        <v/>
      </c>
    </row>
    <row r="508">
      <c r="A508" t="inlineStr">
        <is>
          <t>2026-03-03</t>
        </is>
      </c>
      <c r="B508" t="inlineStr">
        <is>
          <t>S01</t>
        </is>
      </c>
      <c r="C508" t="inlineStr">
        <is>
          <t>piggery</t>
        </is>
      </c>
      <c r="D508" t="inlineStr">
        <is>
          <t>Weighing</t>
        </is>
      </c>
      <c r="E508" t="n">
        <v>8</v>
      </c>
      <c r="F508" t="n">
        <v>1</v>
      </c>
      <c r="G508">
        <f>IFERROR(INDEX('01_STAFF'!$F:$F,MATCH(B508,'01_STAFF'!$A:$A,0))*E508,0)</f>
        <v/>
      </c>
    </row>
    <row r="509">
      <c r="A509" t="inlineStr">
        <is>
          <t>2026-03-03</t>
        </is>
      </c>
      <c r="B509" t="inlineStr">
        <is>
          <t>S02</t>
        </is>
      </c>
      <c r="C509" t="inlineStr">
        <is>
          <t>poultry</t>
        </is>
      </c>
      <c r="D509" t="inlineStr">
        <is>
          <t>Cleaning</t>
        </is>
      </c>
      <c r="E509" t="n">
        <v>8</v>
      </c>
      <c r="F509" t="n">
        <v>0</v>
      </c>
      <c r="G509">
        <f>IFERROR(INDEX('01_STAFF'!$F:$F,MATCH(B509,'01_STAFF'!$A:$A,0))*E509,0)</f>
        <v/>
      </c>
    </row>
    <row r="510">
      <c r="A510" t="inlineStr">
        <is>
          <t>2026-03-03</t>
        </is>
      </c>
      <c r="B510" t="inlineStr">
        <is>
          <t>S03</t>
        </is>
      </c>
      <c r="C510" t="inlineStr">
        <is>
          <t>crops</t>
        </is>
      </c>
      <c r="D510" t="inlineStr">
        <is>
          <t>Land prep</t>
        </is>
      </c>
      <c r="E510" t="n">
        <v>8</v>
      </c>
      <c r="F510" t="n">
        <v>0</v>
      </c>
      <c r="G510">
        <f>IFERROR(INDEX('01_STAFF'!$F:$F,MATCH(B510,'01_STAFF'!$A:$A,0))*E510,0)</f>
        <v/>
      </c>
    </row>
    <row r="511">
      <c r="A511" t="inlineStr">
        <is>
          <t>2026-03-03</t>
        </is>
      </c>
      <c r="B511" t="inlineStr">
        <is>
          <t>S04</t>
        </is>
      </c>
      <c r="C511" t="inlineStr">
        <is>
          <t>shared</t>
        </is>
      </c>
      <c r="D511" t="inlineStr">
        <is>
          <t>Marketing</t>
        </is>
      </c>
      <c r="E511" t="n">
        <v>5</v>
      </c>
      <c r="F511" t="n">
        <v>0</v>
      </c>
      <c r="G511">
        <f>IFERROR(INDEX('01_STAFF'!$F:$F,MATCH(B511,'01_STAFF'!$A:$A,0))*E511,0)</f>
        <v/>
      </c>
    </row>
    <row r="512">
      <c r="A512" t="inlineStr">
        <is>
          <t>2026-03-04</t>
        </is>
      </c>
      <c r="B512" t="inlineStr">
        <is>
          <t>S01</t>
        </is>
      </c>
      <c r="C512" t="inlineStr">
        <is>
          <t>piggery</t>
        </is>
      </c>
      <c r="D512" t="inlineStr">
        <is>
          <t>Vaccination</t>
        </is>
      </c>
      <c r="E512" t="n">
        <v>8</v>
      </c>
      <c r="F512" t="n">
        <v>0</v>
      </c>
      <c r="G512">
        <f>IFERROR(INDEX('01_STAFF'!$F:$F,MATCH(B512,'01_STAFF'!$A:$A,0))*E512,0)</f>
        <v/>
      </c>
    </row>
    <row r="513">
      <c r="A513" t="inlineStr">
        <is>
          <t>2026-03-04</t>
        </is>
      </c>
      <c r="B513" t="inlineStr">
        <is>
          <t>S02</t>
        </is>
      </c>
      <c r="C513" t="inlineStr">
        <is>
          <t>poultry</t>
        </is>
      </c>
      <c r="D513" t="inlineStr">
        <is>
          <t>Weighing</t>
        </is>
      </c>
      <c r="E513" t="n">
        <v>8</v>
      </c>
      <c r="F513" t="n">
        <v>1</v>
      </c>
      <c r="G513">
        <f>IFERROR(INDEX('01_STAFF'!$F:$F,MATCH(B513,'01_STAFF'!$A:$A,0))*E513,0)</f>
        <v/>
      </c>
    </row>
    <row r="514">
      <c r="A514" t="inlineStr">
        <is>
          <t>2026-03-04</t>
        </is>
      </c>
      <c r="B514" t="inlineStr">
        <is>
          <t>S03</t>
        </is>
      </c>
      <c r="C514" t="inlineStr">
        <is>
          <t>crops</t>
        </is>
      </c>
      <c r="D514" t="inlineStr">
        <is>
          <t>Land prep</t>
        </is>
      </c>
      <c r="E514" t="n">
        <v>8</v>
      </c>
      <c r="F514" t="n">
        <v>0</v>
      </c>
      <c r="G514">
        <f>IFERROR(INDEX('01_STAFF'!$F:$F,MATCH(B514,'01_STAFF'!$A:$A,0))*E514,0)</f>
        <v/>
      </c>
    </row>
    <row r="515">
      <c r="A515" t="inlineStr">
        <is>
          <t>2026-03-04</t>
        </is>
      </c>
      <c r="B515" t="inlineStr">
        <is>
          <t>S04</t>
        </is>
      </c>
      <c r="C515" t="inlineStr">
        <is>
          <t>shared</t>
        </is>
      </c>
      <c r="D515" t="inlineStr">
        <is>
          <t>Weighing</t>
        </is>
      </c>
      <c r="E515" t="n">
        <v>6</v>
      </c>
      <c r="F515" t="n">
        <v>1</v>
      </c>
      <c r="G515">
        <f>IFERROR(INDEX('01_STAFF'!$F:$F,MATCH(B515,'01_STAFF'!$A:$A,0))*E515,0)</f>
        <v/>
      </c>
    </row>
    <row r="516">
      <c r="A516" t="inlineStr">
        <is>
          <t>2026-03-05</t>
        </is>
      </c>
      <c r="B516" t="inlineStr">
        <is>
          <t>S01</t>
        </is>
      </c>
      <c r="C516" t="inlineStr">
        <is>
          <t>piggery</t>
        </is>
      </c>
      <c r="D516" t="inlineStr">
        <is>
          <t>Cleaning</t>
        </is>
      </c>
      <c r="E516" t="n">
        <v>8</v>
      </c>
      <c r="F516" t="n">
        <v>0</v>
      </c>
      <c r="G516">
        <f>IFERROR(INDEX('01_STAFF'!$F:$F,MATCH(B516,'01_STAFF'!$A:$A,0))*E516,0)</f>
        <v/>
      </c>
    </row>
    <row r="517">
      <c r="A517" t="inlineStr">
        <is>
          <t>2026-03-05</t>
        </is>
      </c>
      <c r="B517" t="inlineStr">
        <is>
          <t>S02</t>
        </is>
      </c>
      <c r="C517" t="inlineStr">
        <is>
          <t>poultry</t>
        </is>
      </c>
      <c r="D517" t="inlineStr">
        <is>
          <t>Weighing</t>
        </is>
      </c>
      <c r="E517" t="n">
        <v>8</v>
      </c>
      <c r="F517" t="n">
        <v>0</v>
      </c>
      <c r="G517">
        <f>IFERROR(INDEX('01_STAFF'!$F:$F,MATCH(B517,'01_STAFF'!$A:$A,0))*E517,0)</f>
        <v/>
      </c>
    </row>
    <row r="518">
      <c r="A518" t="inlineStr">
        <is>
          <t>2026-03-05</t>
        </is>
      </c>
      <c r="B518" t="inlineStr">
        <is>
          <t>S03</t>
        </is>
      </c>
      <c r="C518" t="inlineStr">
        <is>
          <t>crops</t>
        </is>
      </c>
      <c r="D518" t="inlineStr">
        <is>
          <t>Harvest</t>
        </is>
      </c>
      <c r="E518" t="n">
        <v>8</v>
      </c>
      <c r="F518" t="n">
        <v>0</v>
      </c>
      <c r="G518">
        <f>IFERROR(INDEX('01_STAFF'!$F:$F,MATCH(B518,'01_STAFF'!$A:$A,0))*E518,0)</f>
        <v/>
      </c>
    </row>
    <row r="519">
      <c r="A519" t="inlineStr">
        <is>
          <t>2026-03-05</t>
        </is>
      </c>
      <c r="B519" t="inlineStr">
        <is>
          <t>S04</t>
        </is>
      </c>
      <c r="C519" t="inlineStr">
        <is>
          <t>shared</t>
        </is>
      </c>
      <c r="D519" t="inlineStr">
        <is>
          <t>Maintenance</t>
        </is>
      </c>
      <c r="E519" t="n">
        <v>7</v>
      </c>
      <c r="F519" t="n">
        <v>0</v>
      </c>
      <c r="G519">
        <f>IFERROR(INDEX('01_STAFF'!$F:$F,MATCH(B519,'01_STAFF'!$A:$A,0))*E519,0)</f>
        <v/>
      </c>
    </row>
    <row r="520">
      <c r="A520" t="inlineStr">
        <is>
          <t>2026-03-06</t>
        </is>
      </c>
      <c r="B520" t="inlineStr">
        <is>
          <t>S01</t>
        </is>
      </c>
      <c r="C520" t="inlineStr">
        <is>
          <t>piggery</t>
        </is>
      </c>
      <c r="D520" t="inlineStr">
        <is>
          <t>Feeding</t>
        </is>
      </c>
      <c r="E520" t="n">
        <v>8</v>
      </c>
      <c r="F520" t="n">
        <v>0</v>
      </c>
      <c r="G520">
        <f>IFERROR(INDEX('01_STAFF'!$F:$F,MATCH(B520,'01_STAFF'!$A:$A,0))*E520,0)</f>
        <v/>
      </c>
    </row>
    <row r="521">
      <c r="A521" t="inlineStr">
        <is>
          <t>2026-03-06</t>
        </is>
      </c>
      <c r="B521" t="inlineStr">
        <is>
          <t>S02</t>
        </is>
      </c>
      <c r="C521" t="inlineStr">
        <is>
          <t>poultry</t>
        </is>
      </c>
      <c r="D521" t="inlineStr">
        <is>
          <t>Cleaning</t>
        </is>
      </c>
      <c r="E521" t="n">
        <v>8</v>
      </c>
      <c r="F521" t="n">
        <v>0</v>
      </c>
      <c r="G521">
        <f>IFERROR(INDEX('01_STAFF'!$F:$F,MATCH(B521,'01_STAFF'!$A:$A,0))*E521,0)</f>
        <v/>
      </c>
    </row>
    <row r="522">
      <c r="A522" t="inlineStr">
        <is>
          <t>2026-03-06</t>
        </is>
      </c>
      <c r="B522" t="inlineStr">
        <is>
          <t>S03</t>
        </is>
      </c>
      <c r="C522" t="inlineStr">
        <is>
          <t>crops</t>
        </is>
      </c>
      <c r="D522" t="inlineStr">
        <is>
          <t>Maintenance</t>
        </is>
      </c>
      <c r="E522" t="n">
        <v>8</v>
      </c>
      <c r="F522" t="n">
        <v>1</v>
      </c>
      <c r="G522">
        <f>IFERROR(INDEX('01_STAFF'!$F:$F,MATCH(B522,'01_STAFF'!$A:$A,0))*E522,0)</f>
        <v/>
      </c>
    </row>
    <row r="523">
      <c r="A523" t="inlineStr">
        <is>
          <t>2026-03-06</t>
        </is>
      </c>
      <c r="B523" t="inlineStr">
        <is>
          <t>S04</t>
        </is>
      </c>
      <c r="C523" t="inlineStr">
        <is>
          <t>shared</t>
        </is>
      </c>
      <c r="D523" t="inlineStr">
        <is>
          <t>Maintenance</t>
        </is>
      </c>
      <c r="E523" t="n">
        <v>6</v>
      </c>
      <c r="F523" t="n">
        <v>0</v>
      </c>
      <c r="G523">
        <f>IFERROR(INDEX('01_STAFF'!$F:$F,MATCH(B523,'01_STAFF'!$A:$A,0))*E523,0)</f>
        <v/>
      </c>
    </row>
    <row r="524">
      <c r="A524" t="inlineStr">
        <is>
          <t>2026-03-07</t>
        </is>
      </c>
      <c r="B524" t="inlineStr">
        <is>
          <t>S01</t>
        </is>
      </c>
      <c r="C524" t="inlineStr">
        <is>
          <t>piggery</t>
        </is>
      </c>
      <c r="D524" t="inlineStr">
        <is>
          <t>Weighing</t>
        </is>
      </c>
      <c r="E524" t="n">
        <v>8</v>
      </c>
      <c r="F524" t="n">
        <v>0</v>
      </c>
      <c r="G524">
        <f>IFERROR(INDEX('01_STAFF'!$F:$F,MATCH(B524,'01_STAFF'!$A:$A,0))*E524,0)</f>
        <v/>
      </c>
    </row>
    <row r="525">
      <c r="A525" t="inlineStr">
        <is>
          <t>2026-03-07</t>
        </is>
      </c>
      <c r="B525" t="inlineStr">
        <is>
          <t>S02</t>
        </is>
      </c>
      <c r="C525" t="inlineStr">
        <is>
          <t>poultry</t>
        </is>
      </c>
      <c r="D525" t="inlineStr">
        <is>
          <t>Weighing</t>
        </is>
      </c>
      <c r="E525" t="n">
        <v>8</v>
      </c>
      <c r="F525" t="n">
        <v>0</v>
      </c>
      <c r="G525">
        <f>IFERROR(INDEX('01_STAFF'!$F:$F,MATCH(B525,'01_STAFF'!$A:$A,0))*E525,0)</f>
        <v/>
      </c>
    </row>
    <row r="526">
      <c r="A526" t="inlineStr">
        <is>
          <t>2026-03-07</t>
        </is>
      </c>
      <c r="B526" t="inlineStr">
        <is>
          <t>S03</t>
        </is>
      </c>
      <c r="C526" t="inlineStr">
        <is>
          <t>crops</t>
        </is>
      </c>
      <c r="D526" t="inlineStr">
        <is>
          <t>Maintenance</t>
        </is>
      </c>
      <c r="E526" t="n">
        <v>8</v>
      </c>
      <c r="F526" t="n">
        <v>0</v>
      </c>
      <c r="G526">
        <f>IFERROR(INDEX('01_STAFF'!$F:$F,MATCH(B526,'01_STAFF'!$A:$A,0))*E526,0)</f>
        <v/>
      </c>
    </row>
    <row r="527">
      <c r="A527" t="inlineStr">
        <is>
          <t>2026-03-07</t>
        </is>
      </c>
      <c r="B527" t="inlineStr">
        <is>
          <t>S04</t>
        </is>
      </c>
      <c r="C527" t="inlineStr">
        <is>
          <t>shared</t>
        </is>
      </c>
      <c r="D527" t="inlineStr">
        <is>
          <t>Vaccination</t>
        </is>
      </c>
      <c r="E527" t="n">
        <v>6</v>
      </c>
      <c r="F527" t="n">
        <v>0</v>
      </c>
      <c r="G527">
        <f>IFERROR(INDEX('01_STAFF'!$F:$F,MATCH(B527,'01_STAFF'!$A:$A,0))*E527,0)</f>
        <v/>
      </c>
    </row>
    <row r="528">
      <c r="A528" t="inlineStr">
        <is>
          <t>2026-03-09</t>
        </is>
      </c>
      <c r="B528" t="inlineStr">
        <is>
          <t>S01</t>
        </is>
      </c>
      <c r="C528" t="inlineStr">
        <is>
          <t>piggery</t>
        </is>
      </c>
      <c r="D528" t="inlineStr">
        <is>
          <t>Feeding</t>
        </is>
      </c>
      <c r="E528" t="n">
        <v>8</v>
      </c>
      <c r="F528" t="n">
        <v>0</v>
      </c>
      <c r="G528">
        <f>IFERROR(INDEX('01_STAFF'!$F:$F,MATCH(B528,'01_STAFF'!$A:$A,0))*E528,0)</f>
        <v/>
      </c>
    </row>
    <row r="529">
      <c r="A529" t="inlineStr">
        <is>
          <t>2026-03-09</t>
        </is>
      </c>
      <c r="B529" t="inlineStr">
        <is>
          <t>S02</t>
        </is>
      </c>
      <c r="C529" t="inlineStr">
        <is>
          <t>poultry</t>
        </is>
      </c>
      <c r="D529" t="inlineStr">
        <is>
          <t>Cleaning</t>
        </is>
      </c>
      <c r="E529" t="n">
        <v>8</v>
      </c>
      <c r="F529" t="n">
        <v>0</v>
      </c>
      <c r="G529">
        <f>IFERROR(INDEX('01_STAFF'!$F:$F,MATCH(B529,'01_STAFF'!$A:$A,0))*E529,0)</f>
        <v/>
      </c>
    </row>
    <row r="530">
      <c r="A530" t="inlineStr">
        <is>
          <t>2026-03-09</t>
        </is>
      </c>
      <c r="B530" t="inlineStr">
        <is>
          <t>S03</t>
        </is>
      </c>
      <c r="C530" t="inlineStr">
        <is>
          <t>crops</t>
        </is>
      </c>
      <c r="D530" t="inlineStr">
        <is>
          <t>Harvest</t>
        </is>
      </c>
      <c r="E530" t="n">
        <v>8</v>
      </c>
      <c r="F530" t="n">
        <v>0</v>
      </c>
      <c r="G530">
        <f>IFERROR(INDEX('01_STAFF'!$F:$F,MATCH(B530,'01_STAFF'!$A:$A,0))*E530,0)</f>
        <v/>
      </c>
    </row>
    <row r="531">
      <c r="A531" t="inlineStr">
        <is>
          <t>2026-03-09</t>
        </is>
      </c>
      <c r="B531" t="inlineStr">
        <is>
          <t>S04</t>
        </is>
      </c>
      <c r="C531" t="inlineStr">
        <is>
          <t>shared</t>
        </is>
      </c>
      <c r="D531" t="inlineStr">
        <is>
          <t>Weighing</t>
        </is>
      </c>
      <c r="E531" t="n">
        <v>7</v>
      </c>
      <c r="F531" t="n">
        <v>0</v>
      </c>
      <c r="G531">
        <f>IFERROR(INDEX('01_STAFF'!$F:$F,MATCH(B531,'01_STAFF'!$A:$A,0))*E531,0)</f>
        <v/>
      </c>
    </row>
    <row r="532">
      <c r="A532" t="inlineStr">
        <is>
          <t>2026-03-10</t>
        </is>
      </c>
      <c r="B532" t="inlineStr">
        <is>
          <t>S02</t>
        </is>
      </c>
      <c r="C532" t="inlineStr">
        <is>
          <t>poultry</t>
        </is>
      </c>
      <c r="D532" t="inlineStr">
        <is>
          <t>Vaccination</t>
        </is>
      </c>
      <c r="E532" t="n">
        <v>8</v>
      </c>
      <c r="F532" t="n">
        <v>0</v>
      </c>
      <c r="G532">
        <f>IFERROR(INDEX('01_STAFF'!$F:$F,MATCH(B532,'01_STAFF'!$A:$A,0))*E532,0)</f>
        <v/>
      </c>
    </row>
    <row r="533">
      <c r="A533" t="inlineStr">
        <is>
          <t>2026-03-10</t>
        </is>
      </c>
      <c r="B533" t="inlineStr">
        <is>
          <t>S03</t>
        </is>
      </c>
      <c r="C533" t="inlineStr">
        <is>
          <t>crops</t>
        </is>
      </c>
      <c r="D533" t="inlineStr">
        <is>
          <t>Spraying</t>
        </is>
      </c>
      <c r="E533" t="n">
        <v>8</v>
      </c>
      <c r="F533" t="n">
        <v>0</v>
      </c>
      <c r="G533">
        <f>IFERROR(INDEX('01_STAFF'!$F:$F,MATCH(B533,'01_STAFF'!$A:$A,0))*E533,0)</f>
        <v/>
      </c>
    </row>
    <row r="534">
      <c r="A534" t="inlineStr">
        <is>
          <t>2026-03-10</t>
        </is>
      </c>
      <c r="B534" t="inlineStr">
        <is>
          <t>S04</t>
        </is>
      </c>
      <c r="C534" t="inlineStr">
        <is>
          <t>shared</t>
        </is>
      </c>
      <c r="D534" t="inlineStr">
        <is>
          <t>Maintenance</t>
        </is>
      </c>
      <c r="E534" t="n">
        <v>6</v>
      </c>
      <c r="F534" t="n">
        <v>0</v>
      </c>
      <c r="G534">
        <f>IFERROR(INDEX('01_STAFF'!$F:$F,MATCH(B534,'01_STAFF'!$A:$A,0))*E534,0)</f>
        <v/>
      </c>
    </row>
    <row r="535">
      <c r="A535" t="inlineStr">
        <is>
          <t>2026-03-11</t>
        </is>
      </c>
      <c r="B535" t="inlineStr">
        <is>
          <t>S01</t>
        </is>
      </c>
      <c r="C535" t="inlineStr">
        <is>
          <t>piggery</t>
        </is>
      </c>
      <c r="D535" t="inlineStr">
        <is>
          <t>Weighing</t>
        </is>
      </c>
      <c r="E535" t="n">
        <v>8</v>
      </c>
      <c r="F535" t="n">
        <v>0</v>
      </c>
      <c r="G535">
        <f>IFERROR(INDEX('01_STAFF'!$F:$F,MATCH(B535,'01_STAFF'!$A:$A,0))*E535,0)</f>
        <v/>
      </c>
    </row>
    <row r="536">
      <c r="A536" t="inlineStr">
        <is>
          <t>2026-03-11</t>
        </is>
      </c>
      <c r="B536" t="inlineStr">
        <is>
          <t>S02</t>
        </is>
      </c>
      <c r="C536" t="inlineStr">
        <is>
          <t>poultry</t>
        </is>
      </c>
      <c r="D536" t="inlineStr">
        <is>
          <t>Cleaning</t>
        </is>
      </c>
      <c r="E536" t="n">
        <v>8</v>
      </c>
      <c r="F536" t="n">
        <v>0</v>
      </c>
      <c r="G536">
        <f>IFERROR(INDEX('01_STAFF'!$F:$F,MATCH(B536,'01_STAFF'!$A:$A,0))*E536,0)</f>
        <v/>
      </c>
    </row>
    <row r="537">
      <c r="A537" t="inlineStr">
        <is>
          <t>2026-03-11</t>
        </is>
      </c>
      <c r="B537" t="inlineStr">
        <is>
          <t>S03</t>
        </is>
      </c>
      <c r="C537" t="inlineStr">
        <is>
          <t>crops</t>
        </is>
      </c>
      <c r="D537" t="inlineStr">
        <is>
          <t>Weeding</t>
        </is>
      </c>
      <c r="E537" t="n">
        <v>8</v>
      </c>
      <c r="F537" t="n">
        <v>1</v>
      </c>
      <c r="G537">
        <f>IFERROR(INDEX('01_STAFF'!$F:$F,MATCH(B537,'01_STAFF'!$A:$A,0))*E537,0)</f>
        <v/>
      </c>
    </row>
    <row r="538">
      <c r="A538" t="inlineStr">
        <is>
          <t>2026-03-11</t>
        </is>
      </c>
      <c r="B538" t="inlineStr">
        <is>
          <t>S04</t>
        </is>
      </c>
      <c r="C538" t="inlineStr">
        <is>
          <t>shared</t>
        </is>
      </c>
      <c r="D538" t="inlineStr">
        <is>
          <t>Vaccination</t>
        </is>
      </c>
      <c r="E538" t="n">
        <v>6</v>
      </c>
      <c r="F538" t="n">
        <v>0</v>
      </c>
      <c r="G538">
        <f>IFERROR(INDEX('01_STAFF'!$F:$F,MATCH(B538,'01_STAFF'!$A:$A,0))*E538,0)</f>
        <v/>
      </c>
    </row>
    <row r="539">
      <c r="A539" t="inlineStr">
        <is>
          <t>2026-03-12</t>
        </is>
      </c>
      <c r="B539" t="inlineStr">
        <is>
          <t>S01</t>
        </is>
      </c>
      <c r="C539" t="inlineStr">
        <is>
          <t>piggery</t>
        </is>
      </c>
      <c r="D539" t="inlineStr">
        <is>
          <t>Feeding</t>
        </is>
      </c>
      <c r="E539" t="n">
        <v>8</v>
      </c>
      <c r="F539" t="n">
        <v>0</v>
      </c>
      <c r="G539">
        <f>IFERROR(INDEX('01_STAFF'!$F:$F,MATCH(B539,'01_STAFF'!$A:$A,0))*E539,0)</f>
        <v/>
      </c>
    </row>
    <row r="540">
      <c r="A540" t="inlineStr">
        <is>
          <t>2026-03-12</t>
        </is>
      </c>
      <c r="B540" t="inlineStr">
        <is>
          <t>S02</t>
        </is>
      </c>
      <c r="C540" t="inlineStr">
        <is>
          <t>poultry</t>
        </is>
      </c>
      <c r="D540" t="inlineStr">
        <is>
          <t>Feeding</t>
        </is>
      </c>
      <c r="E540" t="n">
        <v>8</v>
      </c>
      <c r="F540" t="n">
        <v>0</v>
      </c>
      <c r="G540">
        <f>IFERROR(INDEX('01_STAFF'!$F:$F,MATCH(B540,'01_STAFF'!$A:$A,0))*E540,0)</f>
        <v/>
      </c>
    </row>
    <row r="541">
      <c r="A541" t="inlineStr">
        <is>
          <t>2026-03-12</t>
        </is>
      </c>
      <c r="B541" t="inlineStr">
        <is>
          <t>S03</t>
        </is>
      </c>
      <c r="C541" t="inlineStr">
        <is>
          <t>crops</t>
        </is>
      </c>
      <c r="D541" t="inlineStr">
        <is>
          <t>Maintenance</t>
        </is>
      </c>
      <c r="E541" t="n">
        <v>8</v>
      </c>
      <c r="F541" t="n">
        <v>0</v>
      </c>
      <c r="G541">
        <f>IFERROR(INDEX('01_STAFF'!$F:$F,MATCH(B541,'01_STAFF'!$A:$A,0))*E541,0)</f>
        <v/>
      </c>
    </row>
    <row r="542">
      <c r="A542" t="inlineStr">
        <is>
          <t>2026-03-12</t>
        </is>
      </c>
      <c r="B542" t="inlineStr">
        <is>
          <t>S04</t>
        </is>
      </c>
      <c r="C542" t="inlineStr">
        <is>
          <t>shared</t>
        </is>
      </c>
      <c r="D542" t="inlineStr">
        <is>
          <t>Weighing</t>
        </is>
      </c>
      <c r="E542" t="n">
        <v>7</v>
      </c>
      <c r="F542" t="n">
        <v>1</v>
      </c>
      <c r="G542">
        <f>IFERROR(INDEX('01_STAFF'!$F:$F,MATCH(B542,'01_STAFF'!$A:$A,0))*E542,0)</f>
        <v/>
      </c>
    </row>
    <row r="543">
      <c r="A543" t="inlineStr">
        <is>
          <t>2026-03-13</t>
        </is>
      </c>
      <c r="B543" t="inlineStr">
        <is>
          <t>S01</t>
        </is>
      </c>
      <c r="C543" t="inlineStr">
        <is>
          <t>piggery</t>
        </is>
      </c>
      <c r="D543" t="inlineStr">
        <is>
          <t>Weighing</t>
        </is>
      </c>
      <c r="E543" t="n">
        <v>8</v>
      </c>
      <c r="F543" t="n">
        <v>0</v>
      </c>
      <c r="G543">
        <f>IFERROR(INDEX('01_STAFF'!$F:$F,MATCH(B543,'01_STAFF'!$A:$A,0))*E543,0)</f>
        <v/>
      </c>
    </row>
    <row r="544">
      <c r="A544" t="inlineStr">
        <is>
          <t>2026-03-13</t>
        </is>
      </c>
      <c r="B544" t="inlineStr">
        <is>
          <t>S02</t>
        </is>
      </c>
      <c r="C544" t="inlineStr">
        <is>
          <t>poultry</t>
        </is>
      </c>
      <c r="D544" t="inlineStr">
        <is>
          <t>Vaccination</t>
        </is>
      </c>
      <c r="E544" t="n">
        <v>8</v>
      </c>
      <c r="F544" t="n">
        <v>0</v>
      </c>
      <c r="G544">
        <f>IFERROR(INDEX('01_STAFF'!$F:$F,MATCH(B544,'01_STAFF'!$A:$A,0))*E544,0)</f>
        <v/>
      </c>
    </row>
    <row r="545">
      <c r="A545" t="inlineStr">
        <is>
          <t>2026-03-13</t>
        </is>
      </c>
      <c r="B545" t="inlineStr">
        <is>
          <t>S03</t>
        </is>
      </c>
      <c r="C545" t="inlineStr">
        <is>
          <t>crops</t>
        </is>
      </c>
      <c r="D545" t="inlineStr">
        <is>
          <t>Land prep</t>
        </is>
      </c>
      <c r="E545" t="n">
        <v>8</v>
      </c>
      <c r="F545" t="n">
        <v>0</v>
      </c>
      <c r="G545">
        <f>IFERROR(INDEX('01_STAFF'!$F:$F,MATCH(B545,'01_STAFF'!$A:$A,0))*E545,0)</f>
        <v/>
      </c>
    </row>
    <row r="546">
      <c r="A546" t="inlineStr">
        <is>
          <t>2026-03-13</t>
        </is>
      </c>
      <c r="B546" t="inlineStr">
        <is>
          <t>S04</t>
        </is>
      </c>
      <c r="C546" t="inlineStr">
        <is>
          <t>shared</t>
        </is>
      </c>
      <c r="D546" t="inlineStr">
        <is>
          <t>Marketing</t>
        </is>
      </c>
      <c r="E546" t="n">
        <v>5</v>
      </c>
      <c r="F546" t="n">
        <v>0</v>
      </c>
      <c r="G546">
        <f>IFERROR(INDEX('01_STAFF'!$F:$F,MATCH(B546,'01_STAFF'!$A:$A,0))*E546,0)</f>
        <v/>
      </c>
    </row>
    <row r="547">
      <c r="A547" t="inlineStr">
        <is>
          <t>2026-03-14</t>
        </is>
      </c>
      <c r="B547" t="inlineStr">
        <is>
          <t>S01</t>
        </is>
      </c>
      <c r="C547" t="inlineStr">
        <is>
          <t>piggery</t>
        </is>
      </c>
      <c r="D547" t="inlineStr">
        <is>
          <t>Feeding</t>
        </is>
      </c>
      <c r="E547" t="n">
        <v>8</v>
      </c>
      <c r="F547" t="n">
        <v>0</v>
      </c>
      <c r="G547">
        <f>IFERROR(INDEX('01_STAFF'!$F:$F,MATCH(B547,'01_STAFF'!$A:$A,0))*E547,0)</f>
        <v/>
      </c>
    </row>
    <row r="548">
      <c r="A548" t="inlineStr">
        <is>
          <t>2026-03-14</t>
        </is>
      </c>
      <c r="B548" t="inlineStr">
        <is>
          <t>S02</t>
        </is>
      </c>
      <c r="C548" t="inlineStr">
        <is>
          <t>poultry</t>
        </is>
      </c>
      <c r="D548" t="inlineStr">
        <is>
          <t>Weighing</t>
        </is>
      </c>
      <c r="E548" t="n">
        <v>8</v>
      </c>
      <c r="F548" t="n">
        <v>0</v>
      </c>
      <c r="G548">
        <f>IFERROR(INDEX('01_STAFF'!$F:$F,MATCH(B548,'01_STAFF'!$A:$A,0))*E548,0)</f>
        <v/>
      </c>
    </row>
    <row r="549">
      <c r="A549" t="inlineStr">
        <is>
          <t>2026-03-14</t>
        </is>
      </c>
      <c r="B549" t="inlineStr">
        <is>
          <t>S03</t>
        </is>
      </c>
      <c r="C549" t="inlineStr">
        <is>
          <t>crops</t>
        </is>
      </c>
      <c r="D549" t="inlineStr">
        <is>
          <t>Maintenance</t>
        </is>
      </c>
      <c r="E549" t="n">
        <v>8</v>
      </c>
      <c r="F549" t="n">
        <v>0</v>
      </c>
      <c r="G549">
        <f>IFERROR(INDEX('01_STAFF'!$F:$F,MATCH(B549,'01_STAFF'!$A:$A,0))*E549,0)</f>
        <v/>
      </c>
    </row>
    <row r="550">
      <c r="A550" t="inlineStr">
        <is>
          <t>2026-03-14</t>
        </is>
      </c>
      <c r="B550" t="inlineStr">
        <is>
          <t>S04</t>
        </is>
      </c>
      <c r="C550" t="inlineStr">
        <is>
          <t>shared</t>
        </is>
      </c>
      <c r="D550" t="inlineStr">
        <is>
          <t>Vaccination</t>
        </is>
      </c>
      <c r="E550" t="n">
        <v>7</v>
      </c>
      <c r="F550" t="n">
        <v>0</v>
      </c>
      <c r="G550">
        <f>IFERROR(INDEX('01_STAFF'!$F:$F,MATCH(B550,'01_STAFF'!$A:$A,0))*E550,0)</f>
        <v/>
      </c>
    </row>
    <row r="551">
      <c r="A551" t="inlineStr">
        <is>
          <t>2026-03-16</t>
        </is>
      </c>
      <c r="B551" t="inlineStr">
        <is>
          <t>S01</t>
        </is>
      </c>
      <c r="C551" t="inlineStr">
        <is>
          <t>piggery</t>
        </is>
      </c>
      <c r="D551" t="inlineStr">
        <is>
          <t>Vaccination</t>
        </is>
      </c>
      <c r="E551" t="n">
        <v>8</v>
      </c>
      <c r="F551" t="n">
        <v>0</v>
      </c>
      <c r="G551">
        <f>IFERROR(INDEX('01_STAFF'!$F:$F,MATCH(B551,'01_STAFF'!$A:$A,0))*E551,0)</f>
        <v/>
      </c>
    </row>
    <row r="552">
      <c r="A552" t="inlineStr">
        <is>
          <t>2026-03-16</t>
        </is>
      </c>
      <c r="B552" t="inlineStr">
        <is>
          <t>S02</t>
        </is>
      </c>
      <c r="C552" t="inlineStr">
        <is>
          <t>poultry</t>
        </is>
      </c>
      <c r="D552" t="inlineStr">
        <is>
          <t>Cleaning</t>
        </is>
      </c>
      <c r="E552" t="n">
        <v>8</v>
      </c>
      <c r="F552" t="n">
        <v>0</v>
      </c>
      <c r="G552">
        <f>IFERROR(INDEX('01_STAFF'!$F:$F,MATCH(B552,'01_STAFF'!$A:$A,0))*E552,0)</f>
        <v/>
      </c>
    </row>
    <row r="553">
      <c r="A553" t="inlineStr">
        <is>
          <t>2026-03-16</t>
        </is>
      </c>
      <c r="B553" t="inlineStr">
        <is>
          <t>S03</t>
        </is>
      </c>
      <c r="C553" t="inlineStr">
        <is>
          <t>crops</t>
        </is>
      </c>
      <c r="D553" t="inlineStr">
        <is>
          <t>Spraying</t>
        </is>
      </c>
      <c r="E553" t="n">
        <v>8</v>
      </c>
      <c r="F553" t="n">
        <v>0</v>
      </c>
      <c r="G553">
        <f>IFERROR(INDEX('01_STAFF'!$F:$F,MATCH(B553,'01_STAFF'!$A:$A,0))*E553,0)</f>
        <v/>
      </c>
    </row>
    <row r="554">
      <c r="A554" t="inlineStr">
        <is>
          <t>2026-03-17</t>
        </is>
      </c>
      <c r="B554" t="inlineStr">
        <is>
          <t>S01</t>
        </is>
      </c>
      <c r="C554" t="inlineStr">
        <is>
          <t>piggery</t>
        </is>
      </c>
      <c r="D554" t="inlineStr">
        <is>
          <t>Feeding</t>
        </is>
      </c>
      <c r="E554" t="n">
        <v>8</v>
      </c>
      <c r="F554" t="n">
        <v>0</v>
      </c>
      <c r="G554">
        <f>IFERROR(INDEX('01_STAFF'!$F:$F,MATCH(B554,'01_STAFF'!$A:$A,0))*E554,0)</f>
        <v/>
      </c>
    </row>
    <row r="555">
      <c r="A555" t="inlineStr">
        <is>
          <t>2026-03-17</t>
        </is>
      </c>
      <c r="B555" t="inlineStr">
        <is>
          <t>S02</t>
        </is>
      </c>
      <c r="C555" t="inlineStr">
        <is>
          <t>poultry</t>
        </is>
      </c>
      <c r="D555" t="inlineStr">
        <is>
          <t>Cleaning</t>
        </is>
      </c>
      <c r="E555" t="n">
        <v>8</v>
      </c>
      <c r="F555" t="n">
        <v>0</v>
      </c>
      <c r="G555">
        <f>IFERROR(INDEX('01_STAFF'!$F:$F,MATCH(B555,'01_STAFF'!$A:$A,0))*E555,0)</f>
        <v/>
      </c>
    </row>
    <row r="556">
      <c r="A556" t="inlineStr">
        <is>
          <t>2026-03-17</t>
        </is>
      </c>
      <c r="B556" t="inlineStr">
        <is>
          <t>S03</t>
        </is>
      </c>
      <c r="C556" t="inlineStr">
        <is>
          <t>crops</t>
        </is>
      </c>
      <c r="D556" t="inlineStr">
        <is>
          <t>Weeding</t>
        </is>
      </c>
      <c r="E556" t="n">
        <v>8</v>
      </c>
      <c r="F556" t="n">
        <v>0</v>
      </c>
      <c r="G556">
        <f>IFERROR(INDEX('01_STAFF'!$F:$F,MATCH(B556,'01_STAFF'!$A:$A,0))*E556,0)</f>
        <v/>
      </c>
    </row>
    <row r="557">
      <c r="A557" t="inlineStr">
        <is>
          <t>2026-03-17</t>
        </is>
      </c>
      <c r="B557" t="inlineStr">
        <is>
          <t>S04</t>
        </is>
      </c>
      <c r="C557" t="inlineStr">
        <is>
          <t>shared</t>
        </is>
      </c>
      <c r="D557" t="inlineStr">
        <is>
          <t>Vaccination</t>
        </is>
      </c>
      <c r="E557" t="n">
        <v>5</v>
      </c>
      <c r="F557" t="n">
        <v>0</v>
      </c>
      <c r="G557">
        <f>IFERROR(INDEX('01_STAFF'!$F:$F,MATCH(B557,'01_STAFF'!$A:$A,0))*E557,0)</f>
        <v/>
      </c>
    </row>
    <row r="558">
      <c r="A558" t="inlineStr">
        <is>
          <t>2026-03-18</t>
        </is>
      </c>
      <c r="B558" t="inlineStr">
        <is>
          <t>S01</t>
        </is>
      </c>
      <c r="C558" t="inlineStr">
        <is>
          <t>piggery</t>
        </is>
      </c>
      <c r="D558" t="inlineStr">
        <is>
          <t>Feeding</t>
        </is>
      </c>
      <c r="E558" t="n">
        <v>8</v>
      </c>
      <c r="F558" t="n">
        <v>0</v>
      </c>
      <c r="G558">
        <f>IFERROR(INDEX('01_STAFF'!$F:$F,MATCH(B558,'01_STAFF'!$A:$A,0))*E558,0)</f>
        <v/>
      </c>
    </row>
    <row r="559">
      <c r="A559" t="inlineStr">
        <is>
          <t>2026-03-18</t>
        </is>
      </c>
      <c r="B559" t="inlineStr">
        <is>
          <t>S02</t>
        </is>
      </c>
      <c r="C559" t="inlineStr">
        <is>
          <t>poultry</t>
        </is>
      </c>
      <c r="D559" t="inlineStr">
        <is>
          <t>Cleaning</t>
        </is>
      </c>
      <c r="E559" t="n">
        <v>8</v>
      </c>
      <c r="F559" t="n">
        <v>0</v>
      </c>
      <c r="G559">
        <f>IFERROR(INDEX('01_STAFF'!$F:$F,MATCH(B559,'01_STAFF'!$A:$A,0))*E559,0)</f>
        <v/>
      </c>
    </row>
    <row r="560">
      <c r="A560" t="inlineStr">
        <is>
          <t>2026-03-18</t>
        </is>
      </c>
      <c r="B560" t="inlineStr">
        <is>
          <t>S03</t>
        </is>
      </c>
      <c r="C560" t="inlineStr">
        <is>
          <t>crops</t>
        </is>
      </c>
      <c r="D560" t="inlineStr">
        <is>
          <t>Spraying</t>
        </is>
      </c>
      <c r="E560" t="n">
        <v>8</v>
      </c>
      <c r="F560" t="n">
        <v>0</v>
      </c>
      <c r="G560">
        <f>IFERROR(INDEX('01_STAFF'!$F:$F,MATCH(B560,'01_STAFF'!$A:$A,0))*E560,0)</f>
        <v/>
      </c>
    </row>
    <row r="561">
      <c r="A561" t="inlineStr">
        <is>
          <t>2026-03-18</t>
        </is>
      </c>
      <c r="B561" t="inlineStr">
        <is>
          <t>S04</t>
        </is>
      </c>
      <c r="C561" t="inlineStr">
        <is>
          <t>shared</t>
        </is>
      </c>
      <c r="D561" t="inlineStr">
        <is>
          <t>Marketing</t>
        </is>
      </c>
      <c r="E561" t="n">
        <v>7</v>
      </c>
      <c r="F561" t="n">
        <v>0</v>
      </c>
      <c r="G561">
        <f>IFERROR(INDEX('01_STAFF'!$F:$F,MATCH(B561,'01_STAFF'!$A:$A,0))*E561,0)</f>
        <v/>
      </c>
    </row>
    <row r="562">
      <c r="A562" t="inlineStr">
        <is>
          <t>2026-03-19</t>
        </is>
      </c>
      <c r="B562" t="inlineStr">
        <is>
          <t>S01</t>
        </is>
      </c>
      <c r="C562" t="inlineStr">
        <is>
          <t>piggery</t>
        </is>
      </c>
      <c r="D562" t="inlineStr">
        <is>
          <t>Vaccination</t>
        </is>
      </c>
      <c r="E562" t="n">
        <v>8</v>
      </c>
      <c r="F562" t="n">
        <v>0</v>
      </c>
      <c r="G562">
        <f>IFERROR(INDEX('01_STAFF'!$F:$F,MATCH(B562,'01_STAFF'!$A:$A,0))*E562,0)</f>
        <v/>
      </c>
    </row>
    <row r="563">
      <c r="A563" t="inlineStr">
        <is>
          <t>2026-03-19</t>
        </is>
      </c>
      <c r="B563" t="inlineStr">
        <is>
          <t>S02</t>
        </is>
      </c>
      <c r="C563" t="inlineStr">
        <is>
          <t>poultry</t>
        </is>
      </c>
      <c r="D563" t="inlineStr">
        <is>
          <t>Weighing</t>
        </is>
      </c>
      <c r="E563" t="n">
        <v>8</v>
      </c>
      <c r="F563" t="n">
        <v>1</v>
      </c>
      <c r="G563">
        <f>IFERROR(INDEX('01_STAFF'!$F:$F,MATCH(B563,'01_STAFF'!$A:$A,0))*E563,0)</f>
        <v/>
      </c>
    </row>
    <row r="564">
      <c r="A564" t="inlineStr">
        <is>
          <t>2026-03-19</t>
        </is>
      </c>
      <c r="B564" t="inlineStr">
        <is>
          <t>S03</t>
        </is>
      </c>
      <c r="C564" t="inlineStr">
        <is>
          <t>crops</t>
        </is>
      </c>
      <c r="D564" t="inlineStr">
        <is>
          <t>Weeding</t>
        </is>
      </c>
      <c r="E564" t="n">
        <v>8</v>
      </c>
      <c r="F564" t="n">
        <v>0</v>
      </c>
      <c r="G564">
        <f>IFERROR(INDEX('01_STAFF'!$F:$F,MATCH(B564,'01_STAFF'!$A:$A,0))*E564,0)</f>
        <v/>
      </c>
    </row>
    <row r="565">
      <c r="A565" t="inlineStr">
        <is>
          <t>2026-03-19</t>
        </is>
      </c>
      <c r="B565" t="inlineStr">
        <is>
          <t>S04</t>
        </is>
      </c>
      <c r="C565" t="inlineStr">
        <is>
          <t>shared</t>
        </is>
      </c>
      <c r="D565" t="inlineStr">
        <is>
          <t>Marketing</t>
        </is>
      </c>
      <c r="E565" t="n">
        <v>7</v>
      </c>
      <c r="F565" t="n">
        <v>0</v>
      </c>
      <c r="G565">
        <f>IFERROR(INDEX('01_STAFF'!$F:$F,MATCH(B565,'01_STAFF'!$A:$A,0))*E565,0)</f>
        <v/>
      </c>
    </row>
    <row r="566">
      <c r="A566" t="inlineStr">
        <is>
          <t>2026-03-20</t>
        </is>
      </c>
      <c r="B566" t="inlineStr">
        <is>
          <t>S01</t>
        </is>
      </c>
      <c r="C566" t="inlineStr">
        <is>
          <t>piggery</t>
        </is>
      </c>
      <c r="D566" t="inlineStr">
        <is>
          <t>Vaccination</t>
        </is>
      </c>
      <c r="E566" t="n">
        <v>8</v>
      </c>
      <c r="F566" t="n">
        <v>0</v>
      </c>
      <c r="G566">
        <f>IFERROR(INDEX('01_STAFF'!$F:$F,MATCH(B566,'01_STAFF'!$A:$A,0))*E566,0)</f>
        <v/>
      </c>
    </row>
    <row r="567">
      <c r="A567" t="inlineStr">
        <is>
          <t>2026-03-20</t>
        </is>
      </c>
      <c r="B567" t="inlineStr">
        <is>
          <t>S02</t>
        </is>
      </c>
      <c r="C567" t="inlineStr">
        <is>
          <t>poultry</t>
        </is>
      </c>
      <c r="D567" t="inlineStr">
        <is>
          <t>Feeding</t>
        </is>
      </c>
      <c r="E567" t="n">
        <v>8</v>
      </c>
      <c r="F567" t="n">
        <v>0</v>
      </c>
      <c r="G567">
        <f>IFERROR(INDEX('01_STAFF'!$F:$F,MATCH(B567,'01_STAFF'!$A:$A,0))*E567,0)</f>
        <v/>
      </c>
    </row>
    <row r="568">
      <c r="A568" t="inlineStr">
        <is>
          <t>2026-03-20</t>
        </is>
      </c>
      <c r="B568" t="inlineStr">
        <is>
          <t>S03</t>
        </is>
      </c>
      <c r="C568" t="inlineStr">
        <is>
          <t>crops</t>
        </is>
      </c>
      <c r="D568" t="inlineStr">
        <is>
          <t>Harvest</t>
        </is>
      </c>
      <c r="E568" t="n">
        <v>8</v>
      </c>
      <c r="F568" t="n">
        <v>0</v>
      </c>
      <c r="G568">
        <f>IFERROR(INDEX('01_STAFF'!$F:$F,MATCH(B568,'01_STAFF'!$A:$A,0))*E568,0)</f>
        <v/>
      </c>
    </row>
    <row r="569">
      <c r="A569" t="inlineStr">
        <is>
          <t>2026-03-20</t>
        </is>
      </c>
      <c r="B569" t="inlineStr">
        <is>
          <t>S04</t>
        </is>
      </c>
      <c r="C569" t="inlineStr">
        <is>
          <t>shared</t>
        </is>
      </c>
      <c r="D569" t="inlineStr">
        <is>
          <t>Vaccination</t>
        </is>
      </c>
      <c r="E569" t="n">
        <v>7</v>
      </c>
      <c r="F569" t="n">
        <v>0</v>
      </c>
      <c r="G569">
        <f>IFERROR(INDEX('01_STAFF'!$F:$F,MATCH(B569,'01_STAFF'!$A:$A,0))*E569,0)</f>
        <v/>
      </c>
    </row>
    <row r="570">
      <c r="A570" t="inlineStr">
        <is>
          <t>2026-03-21</t>
        </is>
      </c>
      <c r="B570" t="inlineStr">
        <is>
          <t>S01</t>
        </is>
      </c>
      <c r="C570" t="inlineStr">
        <is>
          <t>piggery</t>
        </is>
      </c>
      <c r="D570" t="inlineStr">
        <is>
          <t>Cleaning</t>
        </is>
      </c>
      <c r="E570" t="n">
        <v>8</v>
      </c>
      <c r="F570" t="n">
        <v>0</v>
      </c>
      <c r="G570">
        <f>IFERROR(INDEX('01_STAFF'!$F:$F,MATCH(B570,'01_STAFF'!$A:$A,0))*E570,0)</f>
        <v/>
      </c>
    </row>
    <row r="571">
      <c r="A571" t="inlineStr">
        <is>
          <t>2026-03-21</t>
        </is>
      </c>
      <c r="B571" t="inlineStr">
        <is>
          <t>S02</t>
        </is>
      </c>
      <c r="C571" t="inlineStr">
        <is>
          <t>poultry</t>
        </is>
      </c>
      <c r="D571" t="inlineStr">
        <is>
          <t>Weighing</t>
        </is>
      </c>
      <c r="E571" t="n">
        <v>8</v>
      </c>
      <c r="F571" t="n">
        <v>0</v>
      </c>
      <c r="G571">
        <f>IFERROR(INDEX('01_STAFF'!$F:$F,MATCH(B571,'01_STAFF'!$A:$A,0))*E571,0)</f>
        <v/>
      </c>
    </row>
    <row r="572">
      <c r="A572" t="inlineStr">
        <is>
          <t>2026-03-21</t>
        </is>
      </c>
      <c r="B572" t="inlineStr">
        <is>
          <t>S03</t>
        </is>
      </c>
      <c r="C572" t="inlineStr">
        <is>
          <t>crops</t>
        </is>
      </c>
      <c r="D572" t="inlineStr">
        <is>
          <t>Maintenance</t>
        </is>
      </c>
      <c r="E572" t="n">
        <v>8</v>
      </c>
      <c r="F572" t="n">
        <v>0</v>
      </c>
      <c r="G572">
        <f>IFERROR(INDEX('01_STAFF'!$F:$F,MATCH(B572,'01_STAFF'!$A:$A,0))*E572,0)</f>
        <v/>
      </c>
    </row>
    <row r="573">
      <c r="A573" t="inlineStr">
        <is>
          <t>2026-03-21</t>
        </is>
      </c>
      <c r="B573" t="inlineStr">
        <is>
          <t>S04</t>
        </is>
      </c>
      <c r="C573" t="inlineStr">
        <is>
          <t>shared</t>
        </is>
      </c>
      <c r="D573" t="inlineStr">
        <is>
          <t>Maintenance</t>
        </is>
      </c>
      <c r="E573" t="n">
        <v>7</v>
      </c>
      <c r="F573" t="n">
        <v>0</v>
      </c>
      <c r="G573">
        <f>IFERROR(INDEX('01_STAFF'!$F:$F,MATCH(B573,'01_STAFF'!$A:$A,0))*E573,0)</f>
        <v/>
      </c>
    </row>
    <row r="574">
      <c r="A574" t="inlineStr">
        <is>
          <t>2026-03-23</t>
        </is>
      </c>
      <c r="B574" t="inlineStr">
        <is>
          <t>S01</t>
        </is>
      </c>
      <c r="C574" t="inlineStr">
        <is>
          <t>piggery</t>
        </is>
      </c>
      <c r="D574" t="inlineStr">
        <is>
          <t>Cleaning</t>
        </is>
      </c>
      <c r="E574" t="n">
        <v>8</v>
      </c>
      <c r="F574" t="n">
        <v>1</v>
      </c>
      <c r="G574">
        <f>IFERROR(INDEX('01_STAFF'!$F:$F,MATCH(B574,'01_STAFF'!$A:$A,0))*E574,0)</f>
        <v/>
      </c>
    </row>
    <row r="575">
      <c r="A575" t="inlineStr">
        <is>
          <t>2026-03-23</t>
        </is>
      </c>
      <c r="B575" t="inlineStr">
        <is>
          <t>S02</t>
        </is>
      </c>
      <c r="C575" t="inlineStr">
        <is>
          <t>poultry</t>
        </is>
      </c>
      <c r="D575" t="inlineStr">
        <is>
          <t>Weighing</t>
        </is>
      </c>
      <c r="E575" t="n">
        <v>8</v>
      </c>
      <c r="F575" t="n">
        <v>0</v>
      </c>
      <c r="G575">
        <f>IFERROR(INDEX('01_STAFF'!$F:$F,MATCH(B575,'01_STAFF'!$A:$A,0))*E575,0)</f>
        <v/>
      </c>
    </row>
    <row r="576">
      <c r="A576" t="inlineStr">
        <is>
          <t>2026-03-23</t>
        </is>
      </c>
      <c r="B576" t="inlineStr">
        <is>
          <t>S03</t>
        </is>
      </c>
      <c r="C576" t="inlineStr">
        <is>
          <t>crops</t>
        </is>
      </c>
      <c r="D576" t="inlineStr">
        <is>
          <t>Weeding</t>
        </is>
      </c>
      <c r="E576" t="n">
        <v>8</v>
      </c>
      <c r="F576" t="n">
        <v>0</v>
      </c>
      <c r="G576">
        <f>IFERROR(INDEX('01_STAFF'!$F:$F,MATCH(B576,'01_STAFF'!$A:$A,0))*E576,0)</f>
        <v/>
      </c>
    </row>
    <row r="577">
      <c r="A577" t="inlineStr">
        <is>
          <t>2026-03-23</t>
        </is>
      </c>
      <c r="B577" t="inlineStr">
        <is>
          <t>S04</t>
        </is>
      </c>
      <c r="C577" t="inlineStr">
        <is>
          <t>shared</t>
        </is>
      </c>
      <c r="D577" t="inlineStr">
        <is>
          <t>Marketing</t>
        </is>
      </c>
      <c r="E577" t="n">
        <v>7</v>
      </c>
      <c r="F577" t="n">
        <v>0</v>
      </c>
      <c r="G577">
        <f>IFERROR(INDEX('01_STAFF'!$F:$F,MATCH(B577,'01_STAFF'!$A:$A,0))*E577,0)</f>
        <v/>
      </c>
    </row>
    <row r="578">
      <c r="A578" t="inlineStr">
        <is>
          <t>2026-03-24</t>
        </is>
      </c>
      <c r="B578" t="inlineStr">
        <is>
          <t>S01</t>
        </is>
      </c>
      <c r="C578" t="inlineStr">
        <is>
          <t>piggery</t>
        </is>
      </c>
      <c r="D578" t="inlineStr">
        <is>
          <t>Weighing</t>
        </is>
      </c>
      <c r="E578" t="n">
        <v>8</v>
      </c>
      <c r="F578" t="n">
        <v>0</v>
      </c>
      <c r="G578">
        <f>IFERROR(INDEX('01_STAFF'!$F:$F,MATCH(B578,'01_STAFF'!$A:$A,0))*E578,0)</f>
        <v/>
      </c>
    </row>
    <row r="579">
      <c r="A579" t="inlineStr">
        <is>
          <t>2026-03-24</t>
        </is>
      </c>
      <c r="B579" t="inlineStr">
        <is>
          <t>S02</t>
        </is>
      </c>
      <c r="C579" t="inlineStr">
        <is>
          <t>poultry</t>
        </is>
      </c>
      <c r="D579" t="inlineStr">
        <is>
          <t>Cleaning</t>
        </is>
      </c>
      <c r="E579" t="n">
        <v>8</v>
      </c>
      <c r="F579" t="n">
        <v>0</v>
      </c>
      <c r="G579">
        <f>IFERROR(INDEX('01_STAFF'!$F:$F,MATCH(B579,'01_STAFF'!$A:$A,0))*E579,0)</f>
        <v/>
      </c>
    </row>
    <row r="580">
      <c r="A580" t="inlineStr">
        <is>
          <t>2026-03-24</t>
        </is>
      </c>
      <c r="B580" t="inlineStr">
        <is>
          <t>S03</t>
        </is>
      </c>
      <c r="C580" t="inlineStr">
        <is>
          <t>crops</t>
        </is>
      </c>
      <c r="D580" t="inlineStr">
        <is>
          <t>Spraying</t>
        </is>
      </c>
      <c r="E580" t="n">
        <v>8</v>
      </c>
      <c r="F580" t="n">
        <v>0</v>
      </c>
      <c r="G580">
        <f>IFERROR(INDEX('01_STAFF'!$F:$F,MATCH(B580,'01_STAFF'!$A:$A,0))*E580,0)</f>
        <v/>
      </c>
    </row>
    <row r="581">
      <c r="A581" t="inlineStr">
        <is>
          <t>2026-03-24</t>
        </is>
      </c>
      <c r="B581" t="inlineStr">
        <is>
          <t>S04</t>
        </is>
      </c>
      <c r="C581" t="inlineStr">
        <is>
          <t>shared</t>
        </is>
      </c>
      <c r="D581" t="inlineStr">
        <is>
          <t>Weighing</t>
        </is>
      </c>
      <c r="E581" t="n">
        <v>6</v>
      </c>
      <c r="F581" t="n">
        <v>0</v>
      </c>
      <c r="G581">
        <f>IFERROR(INDEX('01_STAFF'!$F:$F,MATCH(B581,'01_STAFF'!$A:$A,0))*E581,0)</f>
        <v/>
      </c>
    </row>
    <row r="582">
      <c r="A582" t="inlineStr">
        <is>
          <t>2026-03-25</t>
        </is>
      </c>
      <c r="B582" t="inlineStr">
        <is>
          <t>S01</t>
        </is>
      </c>
      <c r="C582" t="inlineStr">
        <is>
          <t>piggery</t>
        </is>
      </c>
      <c r="D582" t="inlineStr">
        <is>
          <t>Cleaning</t>
        </is>
      </c>
      <c r="E582" t="n">
        <v>8</v>
      </c>
      <c r="F582" t="n">
        <v>1</v>
      </c>
      <c r="G582">
        <f>IFERROR(INDEX('01_STAFF'!$F:$F,MATCH(B582,'01_STAFF'!$A:$A,0))*E582,0)</f>
        <v/>
      </c>
    </row>
    <row r="583">
      <c r="A583" t="inlineStr">
        <is>
          <t>2026-03-25</t>
        </is>
      </c>
      <c r="B583" t="inlineStr">
        <is>
          <t>S03</t>
        </is>
      </c>
      <c r="C583" t="inlineStr">
        <is>
          <t>crops</t>
        </is>
      </c>
      <c r="D583" t="inlineStr">
        <is>
          <t>Maintenance</t>
        </is>
      </c>
      <c r="E583" t="n">
        <v>8</v>
      </c>
      <c r="F583" t="n">
        <v>0</v>
      </c>
      <c r="G583">
        <f>IFERROR(INDEX('01_STAFF'!$F:$F,MATCH(B583,'01_STAFF'!$A:$A,0))*E583,0)</f>
        <v/>
      </c>
    </row>
    <row r="584">
      <c r="A584" t="inlineStr">
        <is>
          <t>2026-03-25</t>
        </is>
      </c>
      <c r="B584" t="inlineStr">
        <is>
          <t>S04</t>
        </is>
      </c>
      <c r="C584" t="inlineStr">
        <is>
          <t>shared</t>
        </is>
      </c>
      <c r="D584" t="inlineStr">
        <is>
          <t>Weighing</t>
        </is>
      </c>
      <c r="E584" t="n">
        <v>5</v>
      </c>
      <c r="F584" t="n">
        <v>0</v>
      </c>
      <c r="G584">
        <f>IFERROR(INDEX('01_STAFF'!$F:$F,MATCH(B584,'01_STAFF'!$A:$A,0))*E584,0)</f>
        <v/>
      </c>
    </row>
    <row r="585">
      <c r="A585" t="inlineStr">
        <is>
          <t>2026-03-26</t>
        </is>
      </c>
      <c r="B585" t="inlineStr">
        <is>
          <t>S01</t>
        </is>
      </c>
      <c r="C585" t="inlineStr">
        <is>
          <t>piggery</t>
        </is>
      </c>
      <c r="D585" t="inlineStr">
        <is>
          <t>Vaccination</t>
        </is>
      </c>
      <c r="E585" t="n">
        <v>8</v>
      </c>
      <c r="F585" t="n">
        <v>0</v>
      </c>
      <c r="G585">
        <f>IFERROR(INDEX('01_STAFF'!$F:$F,MATCH(B585,'01_STAFF'!$A:$A,0))*E585,0)</f>
        <v/>
      </c>
    </row>
    <row r="586">
      <c r="A586" t="inlineStr">
        <is>
          <t>2026-03-26</t>
        </is>
      </c>
      <c r="B586" t="inlineStr">
        <is>
          <t>S02</t>
        </is>
      </c>
      <c r="C586" t="inlineStr">
        <is>
          <t>poultry</t>
        </is>
      </c>
      <c r="D586" t="inlineStr">
        <is>
          <t>Cleaning</t>
        </is>
      </c>
      <c r="E586" t="n">
        <v>8</v>
      </c>
      <c r="F586" t="n">
        <v>1</v>
      </c>
      <c r="G586">
        <f>IFERROR(INDEX('01_STAFF'!$F:$F,MATCH(B586,'01_STAFF'!$A:$A,0))*E586,0)</f>
        <v/>
      </c>
    </row>
    <row r="587">
      <c r="A587" t="inlineStr">
        <is>
          <t>2026-03-26</t>
        </is>
      </c>
      <c r="B587" t="inlineStr">
        <is>
          <t>S03</t>
        </is>
      </c>
      <c r="C587" t="inlineStr">
        <is>
          <t>crops</t>
        </is>
      </c>
      <c r="D587" t="inlineStr">
        <is>
          <t>Maintenance</t>
        </is>
      </c>
      <c r="E587" t="n">
        <v>8</v>
      </c>
      <c r="F587" t="n">
        <v>0</v>
      </c>
      <c r="G587">
        <f>IFERROR(INDEX('01_STAFF'!$F:$F,MATCH(B587,'01_STAFF'!$A:$A,0))*E587,0)</f>
        <v/>
      </c>
    </row>
    <row r="588">
      <c r="A588" t="inlineStr">
        <is>
          <t>2026-03-26</t>
        </is>
      </c>
      <c r="B588" t="inlineStr">
        <is>
          <t>S04</t>
        </is>
      </c>
      <c r="C588" t="inlineStr">
        <is>
          <t>shared</t>
        </is>
      </c>
      <c r="D588" t="inlineStr">
        <is>
          <t>Weighing</t>
        </is>
      </c>
      <c r="E588" t="n">
        <v>7</v>
      </c>
      <c r="F588" t="n">
        <v>0</v>
      </c>
      <c r="G588">
        <f>IFERROR(INDEX('01_STAFF'!$F:$F,MATCH(B588,'01_STAFF'!$A:$A,0))*E588,0)</f>
        <v/>
      </c>
    </row>
    <row r="589">
      <c r="A589" t="inlineStr">
        <is>
          <t>2026-03-27</t>
        </is>
      </c>
      <c r="B589" t="inlineStr">
        <is>
          <t>S01</t>
        </is>
      </c>
      <c r="C589" t="inlineStr">
        <is>
          <t>piggery</t>
        </is>
      </c>
      <c r="D589" t="inlineStr">
        <is>
          <t>Vaccination</t>
        </is>
      </c>
      <c r="E589" t="n">
        <v>8</v>
      </c>
      <c r="F589" t="n">
        <v>0</v>
      </c>
      <c r="G589">
        <f>IFERROR(INDEX('01_STAFF'!$F:$F,MATCH(B589,'01_STAFF'!$A:$A,0))*E589,0)</f>
        <v/>
      </c>
    </row>
    <row r="590">
      <c r="A590" t="inlineStr">
        <is>
          <t>2026-03-27</t>
        </is>
      </c>
      <c r="B590" t="inlineStr">
        <is>
          <t>S02</t>
        </is>
      </c>
      <c r="C590" t="inlineStr">
        <is>
          <t>poultry</t>
        </is>
      </c>
      <c r="D590" t="inlineStr">
        <is>
          <t>Cleaning</t>
        </is>
      </c>
      <c r="E590" t="n">
        <v>8</v>
      </c>
      <c r="F590" t="n">
        <v>0</v>
      </c>
      <c r="G590">
        <f>IFERROR(INDEX('01_STAFF'!$F:$F,MATCH(B590,'01_STAFF'!$A:$A,0))*E590,0)</f>
        <v/>
      </c>
    </row>
    <row r="591">
      <c r="A591" t="inlineStr">
        <is>
          <t>2026-03-27</t>
        </is>
      </c>
      <c r="B591" t="inlineStr">
        <is>
          <t>S03</t>
        </is>
      </c>
      <c r="C591" t="inlineStr">
        <is>
          <t>crops</t>
        </is>
      </c>
      <c r="D591" t="inlineStr">
        <is>
          <t>Spraying</t>
        </is>
      </c>
      <c r="E591" t="n">
        <v>8</v>
      </c>
      <c r="F591" t="n">
        <v>0</v>
      </c>
      <c r="G591">
        <f>IFERROR(INDEX('01_STAFF'!$F:$F,MATCH(B591,'01_STAFF'!$A:$A,0))*E591,0)</f>
        <v/>
      </c>
    </row>
    <row r="592">
      <c r="A592" t="inlineStr">
        <is>
          <t>2026-03-27</t>
        </is>
      </c>
      <c r="B592" t="inlineStr">
        <is>
          <t>S04</t>
        </is>
      </c>
      <c r="C592" t="inlineStr">
        <is>
          <t>shared</t>
        </is>
      </c>
      <c r="D592" t="inlineStr">
        <is>
          <t>Marketing</t>
        </is>
      </c>
      <c r="E592" t="n">
        <v>6</v>
      </c>
      <c r="F592" t="n">
        <v>0</v>
      </c>
      <c r="G592">
        <f>IFERROR(INDEX('01_STAFF'!$F:$F,MATCH(B592,'01_STAFF'!$A:$A,0))*E592,0)</f>
        <v/>
      </c>
    </row>
    <row r="593">
      <c r="A593" t="inlineStr">
        <is>
          <t>2026-03-28</t>
        </is>
      </c>
      <c r="B593" t="inlineStr">
        <is>
          <t>S01</t>
        </is>
      </c>
      <c r="C593" t="inlineStr">
        <is>
          <t>piggery</t>
        </is>
      </c>
      <c r="D593" t="inlineStr">
        <is>
          <t>Weighing</t>
        </is>
      </c>
      <c r="E593" t="n">
        <v>8</v>
      </c>
      <c r="F593" t="n">
        <v>0</v>
      </c>
      <c r="G593">
        <f>IFERROR(INDEX('01_STAFF'!$F:$F,MATCH(B593,'01_STAFF'!$A:$A,0))*E593,0)</f>
        <v/>
      </c>
    </row>
    <row r="594">
      <c r="A594" t="inlineStr">
        <is>
          <t>2026-03-28</t>
        </is>
      </c>
      <c r="B594" t="inlineStr">
        <is>
          <t>S02</t>
        </is>
      </c>
      <c r="C594" t="inlineStr">
        <is>
          <t>poultry</t>
        </is>
      </c>
      <c r="D594" t="inlineStr">
        <is>
          <t>Cleaning</t>
        </is>
      </c>
      <c r="E594" t="n">
        <v>8</v>
      </c>
      <c r="F594" t="n">
        <v>0</v>
      </c>
      <c r="G594">
        <f>IFERROR(INDEX('01_STAFF'!$F:$F,MATCH(B594,'01_STAFF'!$A:$A,0))*E594,0)</f>
        <v/>
      </c>
    </row>
    <row r="595">
      <c r="A595" t="inlineStr">
        <is>
          <t>2026-03-28</t>
        </is>
      </c>
      <c r="B595" t="inlineStr">
        <is>
          <t>S03</t>
        </is>
      </c>
      <c r="C595" t="inlineStr">
        <is>
          <t>crops</t>
        </is>
      </c>
      <c r="D595" t="inlineStr">
        <is>
          <t>Spraying</t>
        </is>
      </c>
      <c r="E595" t="n">
        <v>8</v>
      </c>
      <c r="F595" t="n">
        <v>0</v>
      </c>
      <c r="G595">
        <f>IFERROR(INDEX('01_STAFF'!$F:$F,MATCH(B595,'01_STAFF'!$A:$A,0))*E595,0)</f>
        <v/>
      </c>
    </row>
    <row r="596">
      <c r="A596" t="inlineStr">
        <is>
          <t>2026-03-28</t>
        </is>
      </c>
      <c r="B596" t="inlineStr">
        <is>
          <t>S04</t>
        </is>
      </c>
      <c r="C596" t="inlineStr">
        <is>
          <t>shared</t>
        </is>
      </c>
      <c r="D596" t="inlineStr">
        <is>
          <t>Weighing</t>
        </is>
      </c>
      <c r="E596" t="n">
        <v>7</v>
      </c>
      <c r="F596" t="n">
        <v>0</v>
      </c>
      <c r="G596">
        <f>IFERROR(INDEX('01_STAFF'!$F:$F,MATCH(B596,'01_STAFF'!$A:$A,0))*E596,0)</f>
        <v/>
      </c>
    </row>
    <row r="597">
      <c r="A597" t="inlineStr">
        <is>
          <t>2026-03-30</t>
        </is>
      </c>
      <c r="B597" t="inlineStr">
        <is>
          <t>S01</t>
        </is>
      </c>
      <c r="C597" t="inlineStr">
        <is>
          <t>piggery</t>
        </is>
      </c>
      <c r="D597" t="inlineStr">
        <is>
          <t>Feeding</t>
        </is>
      </c>
      <c r="E597" t="n">
        <v>8</v>
      </c>
      <c r="F597" t="n">
        <v>0</v>
      </c>
      <c r="G597">
        <f>IFERROR(INDEX('01_STAFF'!$F:$F,MATCH(B597,'01_STAFF'!$A:$A,0))*E597,0)</f>
        <v/>
      </c>
    </row>
    <row r="598">
      <c r="A598" t="inlineStr">
        <is>
          <t>2026-03-30</t>
        </is>
      </c>
      <c r="B598" t="inlineStr">
        <is>
          <t>S02</t>
        </is>
      </c>
      <c r="C598" t="inlineStr">
        <is>
          <t>poultry</t>
        </is>
      </c>
      <c r="D598" t="inlineStr">
        <is>
          <t>Vaccination</t>
        </is>
      </c>
      <c r="E598" t="n">
        <v>8</v>
      </c>
      <c r="F598" t="n">
        <v>0</v>
      </c>
      <c r="G598">
        <f>IFERROR(INDEX('01_STAFF'!$F:$F,MATCH(B598,'01_STAFF'!$A:$A,0))*E598,0)</f>
        <v/>
      </c>
    </row>
    <row r="599">
      <c r="A599" t="inlineStr">
        <is>
          <t>2026-03-30</t>
        </is>
      </c>
      <c r="B599" t="inlineStr">
        <is>
          <t>S03</t>
        </is>
      </c>
      <c r="C599" t="inlineStr">
        <is>
          <t>crops</t>
        </is>
      </c>
      <c r="D599" t="inlineStr">
        <is>
          <t>Harvest</t>
        </is>
      </c>
      <c r="E599" t="n">
        <v>8</v>
      </c>
      <c r="F599" t="n">
        <v>0</v>
      </c>
      <c r="G599">
        <f>IFERROR(INDEX('01_STAFF'!$F:$F,MATCH(B599,'01_STAFF'!$A:$A,0))*E599,0)</f>
        <v/>
      </c>
    </row>
    <row r="600">
      <c r="A600" t="inlineStr">
        <is>
          <t>2026-03-30</t>
        </is>
      </c>
      <c r="B600" t="inlineStr">
        <is>
          <t>S04</t>
        </is>
      </c>
      <c r="C600" t="inlineStr">
        <is>
          <t>shared</t>
        </is>
      </c>
      <c r="D600" t="inlineStr">
        <is>
          <t>Maintenance</t>
        </is>
      </c>
      <c r="E600" t="n">
        <v>6</v>
      </c>
      <c r="F600" t="n">
        <v>1</v>
      </c>
      <c r="G600">
        <f>IFERROR(INDEX('01_STAFF'!$F:$F,MATCH(B600,'01_STAFF'!$A:$A,0))*E600,0)</f>
        <v/>
      </c>
    </row>
    <row r="601">
      <c r="A601" t="inlineStr">
        <is>
          <t>2026-03-31</t>
        </is>
      </c>
      <c r="B601" t="inlineStr">
        <is>
          <t>S01</t>
        </is>
      </c>
      <c r="C601" t="inlineStr">
        <is>
          <t>piggery</t>
        </is>
      </c>
      <c r="D601" t="inlineStr">
        <is>
          <t>Vaccination</t>
        </is>
      </c>
      <c r="E601" t="n">
        <v>8</v>
      </c>
      <c r="F601" t="n">
        <v>0</v>
      </c>
      <c r="G601">
        <f>IFERROR(INDEX('01_STAFF'!$F:$F,MATCH(B601,'01_STAFF'!$A:$A,0))*E601,0)</f>
        <v/>
      </c>
    </row>
    <row r="602">
      <c r="A602" t="inlineStr">
        <is>
          <t>2026-03-31</t>
        </is>
      </c>
      <c r="B602" t="inlineStr">
        <is>
          <t>S02</t>
        </is>
      </c>
      <c r="C602" t="inlineStr">
        <is>
          <t>poultry</t>
        </is>
      </c>
      <c r="D602" t="inlineStr">
        <is>
          <t>Feeding</t>
        </is>
      </c>
      <c r="E602" t="n">
        <v>8</v>
      </c>
      <c r="F602" t="n">
        <v>1</v>
      </c>
      <c r="G602">
        <f>IFERROR(INDEX('01_STAFF'!$F:$F,MATCH(B602,'01_STAFF'!$A:$A,0))*E602,0)</f>
        <v/>
      </c>
    </row>
    <row r="603">
      <c r="A603" t="inlineStr">
        <is>
          <t>2026-03-31</t>
        </is>
      </c>
      <c r="B603" t="inlineStr">
        <is>
          <t>S03</t>
        </is>
      </c>
      <c r="C603" t="inlineStr">
        <is>
          <t>crops</t>
        </is>
      </c>
      <c r="D603" t="inlineStr">
        <is>
          <t>Harvest</t>
        </is>
      </c>
      <c r="E603" t="n">
        <v>8</v>
      </c>
      <c r="F603" t="n">
        <v>0</v>
      </c>
      <c r="G603">
        <f>IFERROR(INDEX('01_STAFF'!$F:$F,MATCH(B603,'01_STAFF'!$A:$A,0))*E603,0)</f>
        <v/>
      </c>
    </row>
    <row r="604">
      <c r="A604" t="inlineStr">
        <is>
          <t>2026-03-31</t>
        </is>
      </c>
      <c r="B604" t="inlineStr">
        <is>
          <t>S04</t>
        </is>
      </c>
      <c r="C604" t="inlineStr">
        <is>
          <t>shared</t>
        </is>
      </c>
      <c r="D604" t="inlineStr">
        <is>
          <t>Vaccination</t>
        </is>
      </c>
      <c r="E604" t="n">
        <v>5</v>
      </c>
      <c r="F604" t="n">
        <v>0</v>
      </c>
      <c r="G604">
        <f>IFERROR(INDEX('01_STAFF'!$F:$F,MATCH(B604,'01_STAFF'!$A:$A,0))*E604,0)</f>
        <v/>
      </c>
    </row>
    <row r="605">
      <c r="A605" t="inlineStr">
        <is>
          <t>2026-04-01</t>
        </is>
      </c>
      <c r="B605" t="inlineStr">
        <is>
          <t>S02</t>
        </is>
      </c>
      <c r="C605" t="inlineStr">
        <is>
          <t>poultry</t>
        </is>
      </c>
      <c r="D605" t="inlineStr">
        <is>
          <t>Cleaning</t>
        </is>
      </c>
      <c r="E605" t="n">
        <v>8</v>
      </c>
      <c r="F605" t="n">
        <v>0</v>
      </c>
      <c r="G605">
        <f>IFERROR(INDEX('01_STAFF'!$F:$F,MATCH(B605,'01_STAFF'!$A:$A,0))*E605,0)</f>
        <v/>
      </c>
    </row>
    <row r="606">
      <c r="A606" t="inlineStr">
        <is>
          <t>2026-04-01</t>
        </is>
      </c>
      <c r="B606" t="inlineStr">
        <is>
          <t>S03</t>
        </is>
      </c>
      <c r="C606" t="inlineStr">
        <is>
          <t>crops</t>
        </is>
      </c>
      <c r="D606" t="inlineStr">
        <is>
          <t>Harvest</t>
        </is>
      </c>
      <c r="E606" t="n">
        <v>8</v>
      </c>
      <c r="F606" t="n">
        <v>0</v>
      </c>
      <c r="G606">
        <f>IFERROR(INDEX('01_STAFF'!$F:$F,MATCH(B606,'01_STAFF'!$A:$A,0))*E606,0)</f>
        <v/>
      </c>
    </row>
    <row r="607">
      <c r="A607" t="inlineStr">
        <is>
          <t>2026-04-01</t>
        </is>
      </c>
      <c r="B607" t="inlineStr">
        <is>
          <t>S04</t>
        </is>
      </c>
      <c r="C607" t="inlineStr">
        <is>
          <t>shared</t>
        </is>
      </c>
      <c r="D607" t="inlineStr">
        <is>
          <t>Weighing</t>
        </is>
      </c>
      <c r="E607" t="n">
        <v>5</v>
      </c>
      <c r="F607" t="n">
        <v>0</v>
      </c>
      <c r="G607">
        <f>IFERROR(INDEX('01_STAFF'!$F:$F,MATCH(B607,'01_STAFF'!$A:$A,0))*E607,0)</f>
        <v/>
      </c>
    </row>
    <row r="608">
      <c r="A608" t="inlineStr">
        <is>
          <t>2026-04-02</t>
        </is>
      </c>
      <c r="B608" t="inlineStr">
        <is>
          <t>S02</t>
        </is>
      </c>
      <c r="C608" t="inlineStr">
        <is>
          <t>poultry</t>
        </is>
      </c>
      <c r="D608" t="inlineStr">
        <is>
          <t>Weighing</t>
        </is>
      </c>
      <c r="E608" t="n">
        <v>8</v>
      </c>
      <c r="F608" t="n">
        <v>0</v>
      </c>
      <c r="G608">
        <f>IFERROR(INDEX('01_STAFF'!$F:$F,MATCH(B608,'01_STAFF'!$A:$A,0))*E608,0)</f>
        <v/>
      </c>
    </row>
    <row r="609">
      <c r="A609" t="inlineStr">
        <is>
          <t>2026-04-02</t>
        </is>
      </c>
      <c r="B609" t="inlineStr">
        <is>
          <t>S03</t>
        </is>
      </c>
      <c r="C609" t="inlineStr">
        <is>
          <t>crops</t>
        </is>
      </c>
      <c r="D609" t="inlineStr">
        <is>
          <t>Spraying</t>
        </is>
      </c>
      <c r="E609" t="n">
        <v>8</v>
      </c>
      <c r="F609" t="n">
        <v>0</v>
      </c>
      <c r="G609">
        <f>IFERROR(INDEX('01_STAFF'!$F:$F,MATCH(B609,'01_STAFF'!$A:$A,0))*E609,0)</f>
        <v/>
      </c>
    </row>
    <row r="610">
      <c r="A610" t="inlineStr">
        <is>
          <t>2026-04-02</t>
        </is>
      </c>
      <c r="B610" t="inlineStr">
        <is>
          <t>S04</t>
        </is>
      </c>
      <c r="C610" t="inlineStr">
        <is>
          <t>shared</t>
        </is>
      </c>
      <c r="D610" t="inlineStr">
        <is>
          <t>Vaccination</t>
        </is>
      </c>
      <c r="E610" t="n">
        <v>6</v>
      </c>
      <c r="F610" t="n">
        <v>0</v>
      </c>
      <c r="G610">
        <f>IFERROR(INDEX('01_STAFF'!$F:$F,MATCH(B610,'01_STAFF'!$A:$A,0))*E610,0)</f>
        <v/>
      </c>
    </row>
    <row r="611">
      <c r="A611" t="inlineStr">
        <is>
          <t>2026-04-03</t>
        </is>
      </c>
      <c r="B611" t="inlineStr">
        <is>
          <t>S01</t>
        </is>
      </c>
      <c r="C611" t="inlineStr">
        <is>
          <t>piggery</t>
        </is>
      </c>
      <c r="D611" t="inlineStr">
        <is>
          <t>Vaccination</t>
        </is>
      </c>
      <c r="E611" t="n">
        <v>8</v>
      </c>
      <c r="F611" t="n">
        <v>0</v>
      </c>
      <c r="G611">
        <f>IFERROR(INDEX('01_STAFF'!$F:$F,MATCH(B611,'01_STAFF'!$A:$A,0))*E611,0)</f>
        <v/>
      </c>
    </row>
    <row r="612">
      <c r="A612" t="inlineStr">
        <is>
          <t>2026-04-03</t>
        </is>
      </c>
      <c r="B612" t="inlineStr">
        <is>
          <t>S02</t>
        </is>
      </c>
      <c r="C612" t="inlineStr">
        <is>
          <t>poultry</t>
        </is>
      </c>
      <c r="D612" t="inlineStr">
        <is>
          <t>Vaccination</t>
        </is>
      </c>
      <c r="E612" t="n">
        <v>8</v>
      </c>
      <c r="F612" t="n">
        <v>1</v>
      </c>
      <c r="G612">
        <f>IFERROR(INDEX('01_STAFF'!$F:$F,MATCH(B612,'01_STAFF'!$A:$A,0))*E612,0)</f>
        <v/>
      </c>
    </row>
    <row r="613">
      <c r="A613" t="inlineStr">
        <is>
          <t>2026-04-03</t>
        </is>
      </c>
      <c r="B613" t="inlineStr">
        <is>
          <t>S03</t>
        </is>
      </c>
      <c r="C613" t="inlineStr">
        <is>
          <t>crops</t>
        </is>
      </c>
      <c r="D613" t="inlineStr">
        <is>
          <t>Weeding</t>
        </is>
      </c>
      <c r="E613" t="n">
        <v>8</v>
      </c>
      <c r="F613" t="n">
        <v>0</v>
      </c>
      <c r="G613">
        <f>IFERROR(INDEX('01_STAFF'!$F:$F,MATCH(B613,'01_STAFF'!$A:$A,0))*E613,0)</f>
        <v/>
      </c>
    </row>
    <row r="614">
      <c r="A614" t="inlineStr">
        <is>
          <t>2026-04-03</t>
        </is>
      </c>
      <c r="B614" t="inlineStr">
        <is>
          <t>S04</t>
        </is>
      </c>
      <c r="C614" t="inlineStr">
        <is>
          <t>shared</t>
        </is>
      </c>
      <c r="D614" t="inlineStr">
        <is>
          <t>Marketing</t>
        </is>
      </c>
      <c r="E614" t="n">
        <v>6</v>
      </c>
      <c r="F614" t="n">
        <v>0</v>
      </c>
      <c r="G614">
        <f>IFERROR(INDEX('01_STAFF'!$F:$F,MATCH(B614,'01_STAFF'!$A:$A,0))*E614,0)</f>
        <v/>
      </c>
    </row>
    <row r="615">
      <c r="A615" t="inlineStr">
        <is>
          <t>2026-04-04</t>
        </is>
      </c>
      <c r="B615" t="inlineStr">
        <is>
          <t>S01</t>
        </is>
      </c>
      <c r="C615" t="inlineStr">
        <is>
          <t>piggery</t>
        </is>
      </c>
      <c r="D615" t="inlineStr">
        <is>
          <t>Vaccination</t>
        </is>
      </c>
      <c r="E615" t="n">
        <v>8</v>
      </c>
      <c r="F615" t="n">
        <v>1</v>
      </c>
      <c r="G615">
        <f>IFERROR(INDEX('01_STAFF'!$F:$F,MATCH(B615,'01_STAFF'!$A:$A,0))*E615,0)</f>
        <v/>
      </c>
    </row>
    <row r="616">
      <c r="A616" t="inlineStr">
        <is>
          <t>2026-04-04</t>
        </is>
      </c>
      <c r="B616" t="inlineStr">
        <is>
          <t>S02</t>
        </is>
      </c>
      <c r="C616" t="inlineStr">
        <is>
          <t>poultry</t>
        </is>
      </c>
      <c r="D616" t="inlineStr">
        <is>
          <t>Vaccination</t>
        </is>
      </c>
      <c r="E616" t="n">
        <v>8</v>
      </c>
      <c r="F616" t="n">
        <v>0</v>
      </c>
      <c r="G616">
        <f>IFERROR(INDEX('01_STAFF'!$F:$F,MATCH(B616,'01_STAFF'!$A:$A,0))*E616,0)</f>
        <v/>
      </c>
    </row>
    <row r="617">
      <c r="A617" t="inlineStr">
        <is>
          <t>2026-04-04</t>
        </is>
      </c>
      <c r="B617" t="inlineStr">
        <is>
          <t>S03</t>
        </is>
      </c>
      <c r="C617" t="inlineStr">
        <is>
          <t>crops</t>
        </is>
      </c>
      <c r="D617" t="inlineStr">
        <is>
          <t>Weeding</t>
        </is>
      </c>
      <c r="E617" t="n">
        <v>8</v>
      </c>
      <c r="F617" t="n">
        <v>0</v>
      </c>
      <c r="G617">
        <f>IFERROR(INDEX('01_STAFF'!$F:$F,MATCH(B617,'01_STAFF'!$A:$A,0))*E617,0)</f>
        <v/>
      </c>
    </row>
    <row r="618">
      <c r="A618" t="inlineStr">
        <is>
          <t>2026-04-04</t>
        </is>
      </c>
      <c r="B618" t="inlineStr">
        <is>
          <t>S04</t>
        </is>
      </c>
      <c r="C618" t="inlineStr">
        <is>
          <t>shared</t>
        </is>
      </c>
      <c r="D618" t="inlineStr">
        <is>
          <t>Vaccination</t>
        </is>
      </c>
      <c r="E618" t="n">
        <v>5</v>
      </c>
      <c r="F618" t="n">
        <v>0</v>
      </c>
      <c r="G618">
        <f>IFERROR(INDEX('01_STAFF'!$F:$F,MATCH(B618,'01_STAFF'!$A:$A,0))*E618,0)</f>
        <v/>
      </c>
    </row>
    <row r="619">
      <c r="A619" t="inlineStr">
        <is>
          <t>2026-04-06</t>
        </is>
      </c>
      <c r="B619" t="inlineStr">
        <is>
          <t>S01</t>
        </is>
      </c>
      <c r="C619" t="inlineStr">
        <is>
          <t>piggery</t>
        </is>
      </c>
      <c r="D619" t="inlineStr">
        <is>
          <t>Cleaning</t>
        </is>
      </c>
      <c r="E619" t="n">
        <v>8</v>
      </c>
      <c r="F619" t="n">
        <v>0</v>
      </c>
      <c r="G619">
        <f>IFERROR(INDEX('01_STAFF'!$F:$F,MATCH(B619,'01_STAFF'!$A:$A,0))*E619,0)</f>
        <v/>
      </c>
    </row>
    <row r="620">
      <c r="A620" t="inlineStr">
        <is>
          <t>2026-04-06</t>
        </is>
      </c>
      <c r="B620" t="inlineStr">
        <is>
          <t>S02</t>
        </is>
      </c>
      <c r="C620" t="inlineStr">
        <is>
          <t>poultry</t>
        </is>
      </c>
      <c r="D620" t="inlineStr">
        <is>
          <t>Cleaning</t>
        </is>
      </c>
      <c r="E620" t="n">
        <v>8</v>
      </c>
      <c r="F620" t="n">
        <v>0</v>
      </c>
      <c r="G620">
        <f>IFERROR(INDEX('01_STAFF'!$F:$F,MATCH(B620,'01_STAFF'!$A:$A,0))*E620,0)</f>
        <v/>
      </c>
    </row>
    <row r="621">
      <c r="A621" t="inlineStr">
        <is>
          <t>2026-04-06</t>
        </is>
      </c>
      <c r="B621" t="inlineStr">
        <is>
          <t>S04</t>
        </is>
      </c>
      <c r="C621" t="inlineStr">
        <is>
          <t>shared</t>
        </is>
      </c>
      <c r="D621" t="inlineStr">
        <is>
          <t>Maintenance</t>
        </is>
      </c>
      <c r="E621" t="n">
        <v>7</v>
      </c>
      <c r="F621" t="n">
        <v>1</v>
      </c>
      <c r="G621">
        <f>IFERROR(INDEX('01_STAFF'!$F:$F,MATCH(B621,'01_STAFF'!$A:$A,0))*E621,0)</f>
        <v/>
      </c>
    </row>
    <row r="622">
      <c r="A622" t="inlineStr">
        <is>
          <t>2026-04-07</t>
        </is>
      </c>
      <c r="B622" t="inlineStr">
        <is>
          <t>S01</t>
        </is>
      </c>
      <c r="C622" t="inlineStr">
        <is>
          <t>piggery</t>
        </is>
      </c>
      <c r="D622" t="inlineStr">
        <is>
          <t>Feeding</t>
        </is>
      </c>
      <c r="E622" t="n">
        <v>8</v>
      </c>
      <c r="F622" t="n">
        <v>0</v>
      </c>
      <c r="G622">
        <f>IFERROR(INDEX('01_STAFF'!$F:$F,MATCH(B622,'01_STAFF'!$A:$A,0))*E622,0)</f>
        <v/>
      </c>
    </row>
    <row r="623">
      <c r="A623" t="inlineStr">
        <is>
          <t>2026-04-07</t>
        </is>
      </c>
      <c r="B623" t="inlineStr">
        <is>
          <t>S02</t>
        </is>
      </c>
      <c r="C623" t="inlineStr">
        <is>
          <t>poultry</t>
        </is>
      </c>
      <c r="D623" t="inlineStr">
        <is>
          <t>Feeding</t>
        </is>
      </c>
      <c r="E623" t="n">
        <v>8</v>
      </c>
      <c r="F623" t="n">
        <v>0</v>
      </c>
      <c r="G623">
        <f>IFERROR(INDEX('01_STAFF'!$F:$F,MATCH(B623,'01_STAFF'!$A:$A,0))*E623,0)</f>
        <v/>
      </c>
    </row>
    <row r="624">
      <c r="A624" t="inlineStr">
        <is>
          <t>2026-04-07</t>
        </is>
      </c>
      <c r="B624" t="inlineStr">
        <is>
          <t>S03</t>
        </is>
      </c>
      <c r="C624" t="inlineStr">
        <is>
          <t>crops</t>
        </is>
      </c>
      <c r="D624" t="inlineStr">
        <is>
          <t>Land prep</t>
        </is>
      </c>
      <c r="E624" t="n">
        <v>8</v>
      </c>
      <c r="F624" t="n">
        <v>0</v>
      </c>
      <c r="G624">
        <f>IFERROR(INDEX('01_STAFF'!$F:$F,MATCH(B624,'01_STAFF'!$A:$A,0))*E624,0)</f>
        <v/>
      </c>
    </row>
    <row r="625">
      <c r="A625" t="inlineStr">
        <is>
          <t>2026-04-07</t>
        </is>
      </c>
      <c r="B625" t="inlineStr">
        <is>
          <t>S04</t>
        </is>
      </c>
      <c r="C625" t="inlineStr">
        <is>
          <t>shared</t>
        </is>
      </c>
      <c r="D625" t="inlineStr">
        <is>
          <t>Weighing</t>
        </is>
      </c>
      <c r="E625" t="n">
        <v>6</v>
      </c>
      <c r="F625" t="n">
        <v>0</v>
      </c>
      <c r="G625">
        <f>IFERROR(INDEX('01_STAFF'!$F:$F,MATCH(B625,'01_STAFF'!$A:$A,0))*E625,0)</f>
        <v/>
      </c>
    </row>
    <row r="626">
      <c r="A626" t="inlineStr">
        <is>
          <t>2026-04-08</t>
        </is>
      </c>
      <c r="B626" t="inlineStr">
        <is>
          <t>S01</t>
        </is>
      </c>
      <c r="C626" t="inlineStr">
        <is>
          <t>piggery</t>
        </is>
      </c>
      <c r="D626" t="inlineStr">
        <is>
          <t>Feeding</t>
        </is>
      </c>
      <c r="E626" t="n">
        <v>8</v>
      </c>
      <c r="F626" t="n">
        <v>0</v>
      </c>
      <c r="G626">
        <f>IFERROR(INDEX('01_STAFF'!$F:$F,MATCH(B626,'01_STAFF'!$A:$A,0))*E626,0)</f>
        <v/>
      </c>
    </row>
    <row r="627">
      <c r="A627" t="inlineStr">
        <is>
          <t>2026-04-08</t>
        </is>
      </c>
      <c r="B627" t="inlineStr">
        <is>
          <t>S03</t>
        </is>
      </c>
      <c r="C627" t="inlineStr">
        <is>
          <t>crops</t>
        </is>
      </c>
      <c r="D627" t="inlineStr">
        <is>
          <t>Harvest</t>
        </is>
      </c>
      <c r="E627" t="n">
        <v>8</v>
      </c>
      <c r="F627" t="n">
        <v>0</v>
      </c>
      <c r="G627">
        <f>IFERROR(INDEX('01_STAFF'!$F:$F,MATCH(B627,'01_STAFF'!$A:$A,0))*E627,0)</f>
        <v/>
      </c>
    </row>
    <row r="628">
      <c r="A628" t="inlineStr">
        <is>
          <t>2026-04-08</t>
        </is>
      </c>
      <c r="B628" t="inlineStr">
        <is>
          <t>S04</t>
        </is>
      </c>
      <c r="C628" t="inlineStr">
        <is>
          <t>shared</t>
        </is>
      </c>
      <c r="D628" t="inlineStr">
        <is>
          <t>Marketing</t>
        </is>
      </c>
      <c r="E628" t="n">
        <v>5</v>
      </c>
      <c r="F628" t="n">
        <v>1</v>
      </c>
      <c r="G628">
        <f>IFERROR(INDEX('01_STAFF'!$F:$F,MATCH(B628,'01_STAFF'!$A:$A,0))*E628,0)</f>
        <v/>
      </c>
    </row>
    <row r="629">
      <c r="A629" t="inlineStr">
        <is>
          <t>2026-04-09</t>
        </is>
      </c>
      <c r="B629" t="inlineStr">
        <is>
          <t>S01</t>
        </is>
      </c>
      <c r="C629" t="inlineStr">
        <is>
          <t>piggery</t>
        </is>
      </c>
      <c r="D629" t="inlineStr">
        <is>
          <t>Weighing</t>
        </is>
      </c>
      <c r="E629" t="n">
        <v>8</v>
      </c>
      <c r="F629" t="n">
        <v>0</v>
      </c>
      <c r="G629">
        <f>IFERROR(INDEX('01_STAFF'!$F:$F,MATCH(B629,'01_STAFF'!$A:$A,0))*E629,0)</f>
        <v/>
      </c>
    </row>
    <row r="630">
      <c r="A630" t="inlineStr">
        <is>
          <t>2026-04-09</t>
        </is>
      </c>
      <c r="B630" t="inlineStr">
        <is>
          <t>S02</t>
        </is>
      </c>
      <c r="C630" t="inlineStr">
        <is>
          <t>poultry</t>
        </is>
      </c>
      <c r="D630" t="inlineStr">
        <is>
          <t>Vaccination</t>
        </is>
      </c>
      <c r="E630" t="n">
        <v>8</v>
      </c>
      <c r="F630" t="n">
        <v>1</v>
      </c>
      <c r="G630">
        <f>IFERROR(INDEX('01_STAFF'!$F:$F,MATCH(B630,'01_STAFF'!$A:$A,0))*E630,0)</f>
        <v/>
      </c>
    </row>
    <row r="631">
      <c r="A631" t="inlineStr">
        <is>
          <t>2026-04-09</t>
        </is>
      </c>
      <c r="B631" t="inlineStr">
        <is>
          <t>S03</t>
        </is>
      </c>
      <c r="C631" t="inlineStr">
        <is>
          <t>crops</t>
        </is>
      </c>
      <c r="D631" t="inlineStr">
        <is>
          <t>Weeding</t>
        </is>
      </c>
      <c r="E631" t="n">
        <v>8</v>
      </c>
      <c r="F631" t="n">
        <v>0</v>
      </c>
      <c r="G631">
        <f>IFERROR(INDEX('01_STAFF'!$F:$F,MATCH(B631,'01_STAFF'!$A:$A,0))*E631,0)</f>
        <v/>
      </c>
    </row>
    <row r="632">
      <c r="A632" t="inlineStr">
        <is>
          <t>2026-04-09</t>
        </is>
      </c>
      <c r="B632" t="inlineStr">
        <is>
          <t>S04</t>
        </is>
      </c>
      <c r="C632" t="inlineStr">
        <is>
          <t>shared</t>
        </is>
      </c>
      <c r="D632" t="inlineStr">
        <is>
          <t>Maintenance</t>
        </is>
      </c>
      <c r="E632" t="n">
        <v>5</v>
      </c>
      <c r="F632" t="n">
        <v>0</v>
      </c>
      <c r="G632">
        <f>IFERROR(INDEX('01_STAFF'!$F:$F,MATCH(B632,'01_STAFF'!$A:$A,0))*E632,0)</f>
        <v/>
      </c>
    </row>
    <row r="633">
      <c r="A633" t="inlineStr">
        <is>
          <t>2026-04-10</t>
        </is>
      </c>
      <c r="B633" t="inlineStr">
        <is>
          <t>S01</t>
        </is>
      </c>
      <c r="C633" t="inlineStr">
        <is>
          <t>piggery</t>
        </is>
      </c>
      <c r="D633" t="inlineStr">
        <is>
          <t>Vaccination</t>
        </is>
      </c>
      <c r="E633" t="n">
        <v>8</v>
      </c>
      <c r="F633" t="n">
        <v>0</v>
      </c>
      <c r="G633">
        <f>IFERROR(INDEX('01_STAFF'!$F:$F,MATCH(B633,'01_STAFF'!$A:$A,0))*E633,0)</f>
        <v/>
      </c>
    </row>
    <row r="634">
      <c r="A634" t="inlineStr">
        <is>
          <t>2026-04-10</t>
        </is>
      </c>
      <c r="B634" t="inlineStr">
        <is>
          <t>S02</t>
        </is>
      </c>
      <c r="C634" t="inlineStr">
        <is>
          <t>poultry</t>
        </is>
      </c>
      <c r="D634" t="inlineStr">
        <is>
          <t>Cleaning</t>
        </is>
      </c>
      <c r="E634" t="n">
        <v>8</v>
      </c>
      <c r="F634" t="n">
        <v>0</v>
      </c>
      <c r="G634">
        <f>IFERROR(INDEX('01_STAFF'!$F:$F,MATCH(B634,'01_STAFF'!$A:$A,0))*E634,0)</f>
        <v/>
      </c>
    </row>
    <row r="635">
      <c r="A635" t="inlineStr">
        <is>
          <t>2026-04-10</t>
        </is>
      </c>
      <c r="B635" t="inlineStr">
        <is>
          <t>S03</t>
        </is>
      </c>
      <c r="C635" t="inlineStr">
        <is>
          <t>crops</t>
        </is>
      </c>
      <c r="D635" t="inlineStr">
        <is>
          <t>Harvest</t>
        </is>
      </c>
      <c r="E635" t="n">
        <v>8</v>
      </c>
      <c r="F635" t="n">
        <v>0</v>
      </c>
      <c r="G635">
        <f>IFERROR(INDEX('01_STAFF'!$F:$F,MATCH(B635,'01_STAFF'!$A:$A,0))*E635,0)</f>
        <v/>
      </c>
    </row>
    <row r="636">
      <c r="A636" t="inlineStr">
        <is>
          <t>2026-04-10</t>
        </is>
      </c>
      <c r="B636" t="inlineStr">
        <is>
          <t>S04</t>
        </is>
      </c>
      <c r="C636" t="inlineStr">
        <is>
          <t>shared</t>
        </is>
      </c>
      <c r="D636" t="inlineStr">
        <is>
          <t>Marketing</t>
        </is>
      </c>
      <c r="E636" t="n">
        <v>6</v>
      </c>
      <c r="F636" t="n">
        <v>1</v>
      </c>
      <c r="G636">
        <f>IFERROR(INDEX('01_STAFF'!$F:$F,MATCH(B636,'01_STAFF'!$A:$A,0))*E636,0)</f>
        <v/>
      </c>
    </row>
    <row r="637">
      <c r="A637" t="inlineStr">
        <is>
          <t>2026-04-11</t>
        </is>
      </c>
      <c r="B637" t="inlineStr">
        <is>
          <t>S01</t>
        </is>
      </c>
      <c r="C637" t="inlineStr">
        <is>
          <t>piggery</t>
        </is>
      </c>
      <c r="D637" t="inlineStr">
        <is>
          <t>Cleaning</t>
        </is>
      </c>
      <c r="E637" t="n">
        <v>8</v>
      </c>
      <c r="F637" t="n">
        <v>0</v>
      </c>
      <c r="G637">
        <f>IFERROR(INDEX('01_STAFF'!$F:$F,MATCH(B637,'01_STAFF'!$A:$A,0))*E637,0)</f>
        <v/>
      </c>
    </row>
    <row r="638">
      <c r="A638" t="inlineStr">
        <is>
          <t>2026-04-11</t>
        </is>
      </c>
      <c r="B638" t="inlineStr">
        <is>
          <t>S02</t>
        </is>
      </c>
      <c r="C638" t="inlineStr">
        <is>
          <t>poultry</t>
        </is>
      </c>
      <c r="D638" t="inlineStr">
        <is>
          <t>Vaccination</t>
        </is>
      </c>
      <c r="E638" t="n">
        <v>8</v>
      </c>
      <c r="F638" t="n">
        <v>0</v>
      </c>
      <c r="G638">
        <f>IFERROR(INDEX('01_STAFF'!$F:$F,MATCH(B638,'01_STAFF'!$A:$A,0))*E638,0)</f>
        <v/>
      </c>
    </row>
    <row r="639">
      <c r="A639" t="inlineStr">
        <is>
          <t>2026-04-11</t>
        </is>
      </c>
      <c r="B639" t="inlineStr">
        <is>
          <t>S03</t>
        </is>
      </c>
      <c r="C639" t="inlineStr">
        <is>
          <t>crops</t>
        </is>
      </c>
      <c r="D639" t="inlineStr">
        <is>
          <t>Land prep</t>
        </is>
      </c>
      <c r="E639" t="n">
        <v>8</v>
      </c>
      <c r="F639" t="n">
        <v>0</v>
      </c>
      <c r="G639">
        <f>IFERROR(INDEX('01_STAFF'!$F:$F,MATCH(B639,'01_STAFF'!$A:$A,0))*E639,0)</f>
        <v/>
      </c>
    </row>
    <row r="640">
      <c r="A640" t="inlineStr">
        <is>
          <t>2026-04-11</t>
        </is>
      </c>
      <c r="B640" t="inlineStr">
        <is>
          <t>S04</t>
        </is>
      </c>
      <c r="C640" t="inlineStr">
        <is>
          <t>shared</t>
        </is>
      </c>
      <c r="D640" t="inlineStr">
        <is>
          <t>Marketing</t>
        </is>
      </c>
      <c r="E640" t="n">
        <v>6</v>
      </c>
      <c r="F640" t="n">
        <v>0</v>
      </c>
      <c r="G640">
        <f>IFERROR(INDEX('01_STAFF'!$F:$F,MATCH(B640,'01_STAFF'!$A:$A,0))*E640,0)</f>
        <v/>
      </c>
    </row>
    <row r="641">
      <c r="A641" t="inlineStr">
        <is>
          <t>2026-04-12</t>
        </is>
      </c>
      <c r="B641" t="inlineStr">
        <is>
          <t>S01</t>
        </is>
      </c>
      <c r="C641" t="inlineStr">
        <is>
          <t>piggery</t>
        </is>
      </c>
      <c r="D641" t="inlineStr">
        <is>
          <t>Vaccination</t>
        </is>
      </c>
      <c r="E641" t="n">
        <v>8</v>
      </c>
      <c r="F641" t="n">
        <v>0</v>
      </c>
      <c r="G641">
        <f>IFERROR(INDEX('01_STAFF'!$F:$F,MATCH(B641,'01_STAFF'!$A:$A,0))*E641,0)</f>
        <v/>
      </c>
    </row>
    <row r="642">
      <c r="A642" t="inlineStr">
        <is>
          <t>2026-04-12</t>
        </is>
      </c>
      <c r="B642" t="inlineStr">
        <is>
          <t>S02</t>
        </is>
      </c>
      <c r="C642" t="inlineStr">
        <is>
          <t>poultry</t>
        </is>
      </c>
      <c r="D642" t="inlineStr">
        <is>
          <t>Cleaning</t>
        </is>
      </c>
      <c r="E642" t="n">
        <v>8</v>
      </c>
      <c r="F642" t="n">
        <v>0</v>
      </c>
      <c r="G642">
        <f>IFERROR(INDEX('01_STAFF'!$F:$F,MATCH(B642,'01_STAFF'!$A:$A,0))*E642,0)</f>
        <v/>
      </c>
    </row>
    <row r="643">
      <c r="A643" t="inlineStr">
        <is>
          <t>2026-04-12</t>
        </is>
      </c>
      <c r="B643" t="inlineStr">
        <is>
          <t>S03</t>
        </is>
      </c>
      <c r="C643" t="inlineStr">
        <is>
          <t>crops</t>
        </is>
      </c>
      <c r="D643" t="inlineStr">
        <is>
          <t>Maintenance</t>
        </is>
      </c>
      <c r="E643" t="n">
        <v>8</v>
      </c>
      <c r="F643" t="n">
        <v>1</v>
      </c>
      <c r="G643">
        <f>IFERROR(INDEX('01_STAFF'!$F:$F,MATCH(B643,'01_STAFF'!$A:$A,0))*E643,0)</f>
        <v/>
      </c>
    </row>
    <row r="644">
      <c r="A644" t="inlineStr">
        <is>
          <t>2026-04-12</t>
        </is>
      </c>
      <c r="B644" t="inlineStr">
        <is>
          <t>S04</t>
        </is>
      </c>
      <c r="C644" t="inlineStr">
        <is>
          <t>shared</t>
        </is>
      </c>
      <c r="D644" t="inlineStr">
        <is>
          <t>Maintenance</t>
        </is>
      </c>
      <c r="E644" t="n">
        <v>7</v>
      </c>
      <c r="F644" t="n">
        <v>0</v>
      </c>
      <c r="G644">
        <f>IFERROR(INDEX('01_STAFF'!$F:$F,MATCH(B644,'01_STAFF'!$A:$A,0))*E644,0)</f>
        <v/>
      </c>
    </row>
    <row r="645">
      <c r="A645" t="inlineStr">
        <is>
          <t>2026-04-13</t>
        </is>
      </c>
      <c r="B645" t="inlineStr">
        <is>
          <t>S01</t>
        </is>
      </c>
      <c r="C645" t="inlineStr">
        <is>
          <t>piggery</t>
        </is>
      </c>
      <c r="D645" t="inlineStr">
        <is>
          <t>Cleaning</t>
        </is>
      </c>
      <c r="E645" t="n">
        <v>8</v>
      </c>
      <c r="F645" t="n">
        <v>0</v>
      </c>
      <c r="G645">
        <f>IFERROR(INDEX('01_STAFF'!$F:$F,MATCH(B645,'01_STAFF'!$A:$A,0))*E645,0)</f>
        <v/>
      </c>
    </row>
    <row r="646">
      <c r="A646" t="inlineStr">
        <is>
          <t>2026-04-13</t>
        </is>
      </c>
      <c r="B646" t="inlineStr">
        <is>
          <t>S02</t>
        </is>
      </c>
      <c r="C646" t="inlineStr">
        <is>
          <t>poultry</t>
        </is>
      </c>
      <c r="D646" t="inlineStr">
        <is>
          <t>Cleaning</t>
        </is>
      </c>
      <c r="E646" t="n">
        <v>8</v>
      </c>
      <c r="F646" t="n">
        <v>0</v>
      </c>
      <c r="G646">
        <f>IFERROR(INDEX('01_STAFF'!$F:$F,MATCH(B646,'01_STAFF'!$A:$A,0))*E646,0)</f>
        <v/>
      </c>
    </row>
    <row r="647">
      <c r="A647" t="inlineStr">
        <is>
          <t>2026-04-13</t>
        </is>
      </c>
      <c r="B647" t="inlineStr">
        <is>
          <t>S03</t>
        </is>
      </c>
      <c r="C647" t="inlineStr">
        <is>
          <t>crops</t>
        </is>
      </c>
      <c r="D647" t="inlineStr">
        <is>
          <t>Land prep</t>
        </is>
      </c>
      <c r="E647" t="n">
        <v>8</v>
      </c>
      <c r="F647" t="n">
        <v>0</v>
      </c>
      <c r="G647">
        <f>IFERROR(INDEX('01_STAFF'!$F:$F,MATCH(B647,'01_STAFF'!$A:$A,0))*E647,0)</f>
        <v/>
      </c>
    </row>
    <row r="648">
      <c r="A648" t="inlineStr">
        <is>
          <t>2026-04-13</t>
        </is>
      </c>
      <c r="B648" t="inlineStr">
        <is>
          <t>S04</t>
        </is>
      </c>
      <c r="C648" t="inlineStr">
        <is>
          <t>shared</t>
        </is>
      </c>
      <c r="D648" t="inlineStr">
        <is>
          <t>Maintenance</t>
        </is>
      </c>
      <c r="E648" t="n">
        <v>6</v>
      </c>
      <c r="F648" t="n">
        <v>0</v>
      </c>
      <c r="G648">
        <f>IFERROR(INDEX('01_STAFF'!$F:$F,MATCH(B648,'01_STAFF'!$A:$A,0))*E648,0)</f>
        <v/>
      </c>
    </row>
    <row r="649">
      <c r="A649" t="inlineStr">
        <is>
          <t>2026-04-14</t>
        </is>
      </c>
      <c r="B649" t="inlineStr">
        <is>
          <t>S01</t>
        </is>
      </c>
      <c r="C649" t="inlineStr">
        <is>
          <t>piggery</t>
        </is>
      </c>
      <c r="D649" t="inlineStr">
        <is>
          <t>Weighing</t>
        </is>
      </c>
      <c r="E649" t="n">
        <v>8</v>
      </c>
      <c r="F649" t="n">
        <v>0</v>
      </c>
      <c r="G649">
        <f>IFERROR(INDEX('01_STAFF'!$F:$F,MATCH(B649,'01_STAFF'!$A:$A,0))*E649,0)</f>
        <v/>
      </c>
    </row>
    <row r="650">
      <c r="A650" t="inlineStr">
        <is>
          <t>2026-04-14</t>
        </is>
      </c>
      <c r="B650" t="inlineStr">
        <is>
          <t>S02</t>
        </is>
      </c>
      <c r="C650" t="inlineStr">
        <is>
          <t>poultry</t>
        </is>
      </c>
      <c r="D650" t="inlineStr">
        <is>
          <t>Feeding</t>
        </is>
      </c>
      <c r="E650" t="n">
        <v>8</v>
      </c>
      <c r="F650" t="n">
        <v>0</v>
      </c>
      <c r="G650">
        <f>IFERROR(INDEX('01_STAFF'!$F:$F,MATCH(B650,'01_STAFF'!$A:$A,0))*E650,0)</f>
        <v/>
      </c>
    </row>
    <row r="651">
      <c r="A651" t="inlineStr">
        <is>
          <t>2026-04-14</t>
        </is>
      </c>
      <c r="B651" t="inlineStr">
        <is>
          <t>S03</t>
        </is>
      </c>
      <c r="C651" t="inlineStr">
        <is>
          <t>crops</t>
        </is>
      </c>
      <c r="D651" t="inlineStr">
        <is>
          <t>Weeding</t>
        </is>
      </c>
      <c r="E651" t="n">
        <v>8</v>
      </c>
      <c r="F651" t="n">
        <v>0</v>
      </c>
      <c r="G651">
        <f>IFERROR(INDEX('01_STAFF'!$F:$F,MATCH(B651,'01_STAFF'!$A:$A,0))*E651,0)</f>
        <v/>
      </c>
    </row>
    <row r="652">
      <c r="A652" t="inlineStr">
        <is>
          <t>2026-04-14</t>
        </is>
      </c>
      <c r="B652" t="inlineStr">
        <is>
          <t>S04</t>
        </is>
      </c>
      <c r="C652" t="inlineStr">
        <is>
          <t>shared</t>
        </is>
      </c>
      <c r="D652" t="inlineStr">
        <is>
          <t>Maintenance</t>
        </is>
      </c>
      <c r="E652" t="n">
        <v>5</v>
      </c>
      <c r="F652" t="n">
        <v>0</v>
      </c>
      <c r="G652">
        <f>IFERROR(INDEX('01_STAFF'!$F:$F,MATCH(B652,'01_STAFF'!$A:$A,0))*E652,0)</f>
        <v/>
      </c>
    </row>
    <row r="653">
      <c r="A653" t="inlineStr">
        <is>
          <t>2026-04-15</t>
        </is>
      </c>
      <c r="B653" t="inlineStr">
        <is>
          <t>S01</t>
        </is>
      </c>
      <c r="C653" t="inlineStr">
        <is>
          <t>piggery</t>
        </is>
      </c>
      <c r="D653" t="inlineStr">
        <is>
          <t>Vaccination</t>
        </is>
      </c>
      <c r="E653" t="n">
        <v>8</v>
      </c>
      <c r="F653" t="n">
        <v>0</v>
      </c>
      <c r="G653">
        <f>IFERROR(INDEX('01_STAFF'!$F:$F,MATCH(B653,'01_STAFF'!$A:$A,0))*E653,0)</f>
        <v/>
      </c>
    </row>
    <row r="654">
      <c r="A654" t="inlineStr">
        <is>
          <t>2026-04-15</t>
        </is>
      </c>
      <c r="B654" t="inlineStr">
        <is>
          <t>S02</t>
        </is>
      </c>
      <c r="C654" t="inlineStr">
        <is>
          <t>poultry</t>
        </is>
      </c>
      <c r="D654" t="inlineStr">
        <is>
          <t>Weighing</t>
        </is>
      </c>
      <c r="E654" t="n">
        <v>8</v>
      </c>
      <c r="F654" t="n">
        <v>0</v>
      </c>
      <c r="G654">
        <f>IFERROR(INDEX('01_STAFF'!$F:$F,MATCH(B654,'01_STAFF'!$A:$A,0))*E654,0)</f>
        <v/>
      </c>
    </row>
    <row r="655">
      <c r="A655" t="inlineStr">
        <is>
          <t>2026-04-15</t>
        </is>
      </c>
      <c r="B655" t="inlineStr">
        <is>
          <t>S03</t>
        </is>
      </c>
      <c r="C655" t="inlineStr">
        <is>
          <t>crops</t>
        </is>
      </c>
      <c r="D655" t="inlineStr">
        <is>
          <t>Weeding</t>
        </is>
      </c>
      <c r="E655" t="n">
        <v>8</v>
      </c>
      <c r="F655" t="n">
        <v>0</v>
      </c>
      <c r="G655">
        <f>IFERROR(INDEX('01_STAFF'!$F:$F,MATCH(B655,'01_STAFF'!$A:$A,0))*E655,0)</f>
        <v/>
      </c>
    </row>
    <row r="656">
      <c r="A656" t="inlineStr">
        <is>
          <t>2026-04-16</t>
        </is>
      </c>
      <c r="B656" t="inlineStr">
        <is>
          <t>S01</t>
        </is>
      </c>
      <c r="C656" t="inlineStr">
        <is>
          <t>piggery</t>
        </is>
      </c>
      <c r="D656" t="inlineStr">
        <is>
          <t>Weighing</t>
        </is>
      </c>
      <c r="E656" t="n">
        <v>8</v>
      </c>
      <c r="F656" t="n">
        <v>0</v>
      </c>
      <c r="G656">
        <f>IFERROR(INDEX('01_STAFF'!$F:$F,MATCH(B656,'01_STAFF'!$A:$A,0))*E656,0)</f>
        <v/>
      </c>
    </row>
    <row r="657">
      <c r="A657" t="inlineStr">
        <is>
          <t>2026-04-16</t>
        </is>
      </c>
      <c r="B657" t="inlineStr">
        <is>
          <t>S02</t>
        </is>
      </c>
      <c r="C657" t="inlineStr">
        <is>
          <t>poultry</t>
        </is>
      </c>
      <c r="D657" t="inlineStr">
        <is>
          <t>Feeding</t>
        </is>
      </c>
      <c r="E657" t="n">
        <v>8</v>
      </c>
      <c r="F657" t="n">
        <v>1</v>
      </c>
      <c r="G657">
        <f>IFERROR(INDEX('01_STAFF'!$F:$F,MATCH(B657,'01_STAFF'!$A:$A,0))*E657,0)</f>
        <v/>
      </c>
    </row>
    <row r="658">
      <c r="A658" t="inlineStr">
        <is>
          <t>2026-04-16</t>
        </is>
      </c>
      <c r="B658" t="inlineStr">
        <is>
          <t>S03</t>
        </is>
      </c>
      <c r="C658" t="inlineStr">
        <is>
          <t>crops</t>
        </is>
      </c>
      <c r="D658" t="inlineStr">
        <is>
          <t>Weeding</t>
        </is>
      </c>
      <c r="E658" t="n">
        <v>8</v>
      </c>
      <c r="F658" t="n">
        <v>0</v>
      </c>
      <c r="G658">
        <f>IFERROR(INDEX('01_STAFF'!$F:$F,MATCH(B658,'01_STAFF'!$A:$A,0))*E658,0)</f>
        <v/>
      </c>
    </row>
    <row r="659">
      <c r="A659" t="inlineStr">
        <is>
          <t>2026-04-16</t>
        </is>
      </c>
      <c r="B659" t="inlineStr">
        <is>
          <t>S04</t>
        </is>
      </c>
      <c r="C659" t="inlineStr">
        <is>
          <t>shared</t>
        </is>
      </c>
      <c r="D659" t="inlineStr">
        <is>
          <t>Weighing</t>
        </is>
      </c>
      <c r="E659" t="n">
        <v>7</v>
      </c>
      <c r="F659" t="n">
        <v>0</v>
      </c>
      <c r="G659">
        <f>IFERROR(INDEX('01_STAFF'!$F:$F,MATCH(B659,'01_STAFF'!$A:$A,0))*E659,0)</f>
        <v/>
      </c>
    </row>
    <row r="660">
      <c r="A660" t="inlineStr">
        <is>
          <t>2026-04-17</t>
        </is>
      </c>
      <c r="B660" t="inlineStr">
        <is>
          <t>S01</t>
        </is>
      </c>
      <c r="C660" t="inlineStr">
        <is>
          <t>piggery</t>
        </is>
      </c>
      <c r="D660" t="inlineStr">
        <is>
          <t>Vaccination</t>
        </is>
      </c>
      <c r="E660" t="n">
        <v>8</v>
      </c>
      <c r="F660" t="n">
        <v>0</v>
      </c>
      <c r="G660">
        <f>IFERROR(INDEX('01_STAFF'!$F:$F,MATCH(B660,'01_STAFF'!$A:$A,0))*E660,0)</f>
        <v/>
      </c>
    </row>
    <row r="661">
      <c r="A661" t="inlineStr">
        <is>
          <t>2026-04-17</t>
        </is>
      </c>
      <c r="B661" t="inlineStr">
        <is>
          <t>S02</t>
        </is>
      </c>
      <c r="C661" t="inlineStr">
        <is>
          <t>poultry</t>
        </is>
      </c>
      <c r="D661" t="inlineStr">
        <is>
          <t>Weighing</t>
        </is>
      </c>
      <c r="E661" t="n">
        <v>8</v>
      </c>
      <c r="F661" t="n">
        <v>0</v>
      </c>
      <c r="G661">
        <f>IFERROR(INDEX('01_STAFF'!$F:$F,MATCH(B661,'01_STAFF'!$A:$A,0))*E661,0)</f>
        <v/>
      </c>
    </row>
    <row r="662">
      <c r="A662" t="inlineStr">
        <is>
          <t>2026-04-17</t>
        </is>
      </c>
      <c r="B662" t="inlineStr">
        <is>
          <t>S03</t>
        </is>
      </c>
      <c r="C662" t="inlineStr">
        <is>
          <t>crops</t>
        </is>
      </c>
      <c r="D662" t="inlineStr">
        <is>
          <t>Harvest</t>
        </is>
      </c>
      <c r="E662" t="n">
        <v>8</v>
      </c>
      <c r="F662" t="n">
        <v>0</v>
      </c>
      <c r="G662">
        <f>IFERROR(INDEX('01_STAFF'!$F:$F,MATCH(B662,'01_STAFF'!$A:$A,0))*E662,0)</f>
        <v/>
      </c>
    </row>
    <row r="663">
      <c r="A663" t="inlineStr">
        <is>
          <t>2026-04-17</t>
        </is>
      </c>
      <c r="B663" t="inlineStr">
        <is>
          <t>S04</t>
        </is>
      </c>
      <c r="C663" t="inlineStr">
        <is>
          <t>shared</t>
        </is>
      </c>
      <c r="D663" t="inlineStr">
        <is>
          <t>Marketing</t>
        </is>
      </c>
      <c r="E663" t="n">
        <v>5</v>
      </c>
      <c r="F663" t="n">
        <v>0</v>
      </c>
      <c r="G663">
        <f>IFERROR(INDEX('01_STAFF'!$F:$F,MATCH(B663,'01_STAFF'!$A:$A,0))*E663,0)</f>
        <v/>
      </c>
    </row>
    <row r="664">
      <c r="A664" t="inlineStr">
        <is>
          <t>2026-04-18</t>
        </is>
      </c>
      <c r="B664" t="inlineStr">
        <is>
          <t>S02</t>
        </is>
      </c>
      <c r="C664" t="inlineStr">
        <is>
          <t>poultry</t>
        </is>
      </c>
      <c r="D664" t="inlineStr">
        <is>
          <t>Feeding</t>
        </is>
      </c>
      <c r="E664" t="n">
        <v>8</v>
      </c>
      <c r="F664" t="n">
        <v>0</v>
      </c>
      <c r="G664">
        <f>IFERROR(INDEX('01_STAFF'!$F:$F,MATCH(B664,'01_STAFF'!$A:$A,0))*E664,0)</f>
        <v/>
      </c>
    </row>
    <row r="665">
      <c r="A665" t="inlineStr">
        <is>
          <t>2026-04-18</t>
        </is>
      </c>
      <c r="B665" t="inlineStr">
        <is>
          <t>S03</t>
        </is>
      </c>
      <c r="C665" t="inlineStr">
        <is>
          <t>crops</t>
        </is>
      </c>
      <c r="D665" t="inlineStr">
        <is>
          <t>Weeding</t>
        </is>
      </c>
      <c r="E665" t="n">
        <v>8</v>
      </c>
      <c r="F665" t="n">
        <v>0</v>
      </c>
      <c r="G665">
        <f>IFERROR(INDEX('01_STAFF'!$F:$F,MATCH(B665,'01_STAFF'!$A:$A,0))*E665,0)</f>
        <v/>
      </c>
    </row>
    <row r="666">
      <c r="A666" t="inlineStr">
        <is>
          <t>2026-04-18</t>
        </is>
      </c>
      <c r="B666" t="inlineStr">
        <is>
          <t>S04</t>
        </is>
      </c>
      <c r="C666" t="inlineStr">
        <is>
          <t>shared</t>
        </is>
      </c>
      <c r="D666" t="inlineStr">
        <is>
          <t>Marketing</t>
        </is>
      </c>
      <c r="E666" t="n">
        <v>5</v>
      </c>
      <c r="F666" t="n">
        <v>0</v>
      </c>
      <c r="G666">
        <f>IFERROR(INDEX('01_STAFF'!$F:$F,MATCH(B666,'01_STAFF'!$A:$A,0))*E666,0)</f>
        <v/>
      </c>
    </row>
    <row r="667">
      <c r="A667" t="inlineStr">
        <is>
          <t>2026-04-19</t>
        </is>
      </c>
      <c r="B667" t="inlineStr">
        <is>
          <t>S01</t>
        </is>
      </c>
      <c r="C667" t="inlineStr">
        <is>
          <t>piggery</t>
        </is>
      </c>
      <c r="D667" t="inlineStr">
        <is>
          <t>Feeding</t>
        </is>
      </c>
      <c r="E667" t="n">
        <v>8</v>
      </c>
      <c r="F667" t="n">
        <v>0</v>
      </c>
      <c r="G667">
        <f>IFERROR(INDEX('01_STAFF'!$F:$F,MATCH(B667,'01_STAFF'!$A:$A,0))*E667,0)</f>
        <v/>
      </c>
    </row>
    <row r="668">
      <c r="A668" t="inlineStr">
        <is>
          <t>2026-04-19</t>
        </is>
      </c>
      <c r="B668" t="inlineStr">
        <is>
          <t>S02</t>
        </is>
      </c>
      <c r="C668" t="inlineStr">
        <is>
          <t>poultry</t>
        </is>
      </c>
      <c r="D668" t="inlineStr">
        <is>
          <t>Vaccination</t>
        </is>
      </c>
      <c r="E668" t="n">
        <v>8</v>
      </c>
      <c r="F668" t="n">
        <v>0</v>
      </c>
      <c r="G668">
        <f>IFERROR(INDEX('01_STAFF'!$F:$F,MATCH(B668,'01_STAFF'!$A:$A,0))*E668,0)</f>
        <v/>
      </c>
    </row>
    <row r="669">
      <c r="A669" t="inlineStr">
        <is>
          <t>2026-04-19</t>
        </is>
      </c>
      <c r="B669" t="inlineStr">
        <is>
          <t>S03</t>
        </is>
      </c>
      <c r="C669" t="inlineStr">
        <is>
          <t>crops</t>
        </is>
      </c>
      <c r="D669" t="inlineStr">
        <is>
          <t>Harvest</t>
        </is>
      </c>
      <c r="E669" t="n">
        <v>8</v>
      </c>
      <c r="F669" t="n">
        <v>0</v>
      </c>
      <c r="G669">
        <f>IFERROR(INDEX('01_STAFF'!$F:$F,MATCH(B669,'01_STAFF'!$A:$A,0))*E669,0)</f>
        <v/>
      </c>
    </row>
    <row r="670">
      <c r="A670" t="inlineStr">
        <is>
          <t>2026-04-19</t>
        </is>
      </c>
      <c r="B670" t="inlineStr">
        <is>
          <t>S04</t>
        </is>
      </c>
      <c r="C670" t="inlineStr">
        <is>
          <t>shared</t>
        </is>
      </c>
      <c r="D670" t="inlineStr">
        <is>
          <t>Weighing</t>
        </is>
      </c>
      <c r="E670" t="n">
        <v>5</v>
      </c>
      <c r="F670" t="n">
        <v>1</v>
      </c>
      <c r="G670">
        <f>IFERROR(INDEX('01_STAFF'!$F:$F,MATCH(B670,'01_STAFF'!$A:$A,0))*E670,0)</f>
        <v/>
      </c>
    </row>
    <row r="671">
      <c r="A671" t="inlineStr">
        <is>
          <t>2026-04-20</t>
        </is>
      </c>
      <c r="B671" t="inlineStr">
        <is>
          <t>S01</t>
        </is>
      </c>
      <c r="C671" t="inlineStr">
        <is>
          <t>piggery</t>
        </is>
      </c>
      <c r="D671" t="inlineStr">
        <is>
          <t>Vaccination</t>
        </is>
      </c>
      <c r="E671" t="n">
        <v>8</v>
      </c>
      <c r="F671" t="n">
        <v>0</v>
      </c>
      <c r="G671">
        <f>IFERROR(INDEX('01_STAFF'!$F:$F,MATCH(B671,'01_STAFF'!$A:$A,0))*E671,0)</f>
        <v/>
      </c>
    </row>
    <row r="672">
      <c r="A672" t="inlineStr">
        <is>
          <t>2026-04-20</t>
        </is>
      </c>
      <c r="B672" t="inlineStr">
        <is>
          <t>S02</t>
        </is>
      </c>
      <c r="C672" t="inlineStr">
        <is>
          <t>poultry</t>
        </is>
      </c>
      <c r="D672" t="inlineStr">
        <is>
          <t>Weighing</t>
        </is>
      </c>
      <c r="E672" t="n">
        <v>8</v>
      </c>
      <c r="F672" t="n">
        <v>1</v>
      </c>
      <c r="G672">
        <f>IFERROR(INDEX('01_STAFF'!$F:$F,MATCH(B672,'01_STAFF'!$A:$A,0))*E672,0)</f>
        <v/>
      </c>
    </row>
    <row r="673">
      <c r="A673" t="inlineStr">
        <is>
          <t>2026-04-20</t>
        </is>
      </c>
      <c r="B673" t="inlineStr">
        <is>
          <t>S03</t>
        </is>
      </c>
      <c r="C673" t="inlineStr">
        <is>
          <t>crops</t>
        </is>
      </c>
      <c r="D673" t="inlineStr">
        <is>
          <t>Maintenance</t>
        </is>
      </c>
      <c r="E673" t="n">
        <v>8</v>
      </c>
      <c r="F673" t="n">
        <v>0</v>
      </c>
      <c r="G673">
        <f>IFERROR(INDEX('01_STAFF'!$F:$F,MATCH(B673,'01_STAFF'!$A:$A,0))*E673,0)</f>
        <v/>
      </c>
    </row>
    <row r="674">
      <c r="A674" t="inlineStr">
        <is>
          <t>2026-04-20</t>
        </is>
      </c>
      <c r="B674" t="inlineStr">
        <is>
          <t>S04</t>
        </is>
      </c>
      <c r="C674" t="inlineStr">
        <is>
          <t>shared</t>
        </is>
      </c>
      <c r="D674" t="inlineStr">
        <is>
          <t>Weighing</t>
        </is>
      </c>
      <c r="E674" t="n">
        <v>5</v>
      </c>
      <c r="F674" t="n">
        <v>1</v>
      </c>
      <c r="G674">
        <f>IFERROR(INDEX('01_STAFF'!$F:$F,MATCH(B674,'01_STAFF'!$A:$A,0))*E674,0)</f>
        <v/>
      </c>
    </row>
    <row r="675">
      <c r="A675" t="inlineStr">
        <is>
          <t>2026-04-21</t>
        </is>
      </c>
      <c r="B675" t="inlineStr">
        <is>
          <t>S02</t>
        </is>
      </c>
      <c r="C675" t="inlineStr">
        <is>
          <t>poultry</t>
        </is>
      </c>
      <c r="D675" t="inlineStr">
        <is>
          <t>Feeding</t>
        </is>
      </c>
      <c r="E675" t="n">
        <v>8</v>
      </c>
      <c r="F675" t="n">
        <v>0</v>
      </c>
      <c r="G675">
        <f>IFERROR(INDEX('01_STAFF'!$F:$F,MATCH(B675,'01_STAFF'!$A:$A,0))*E675,0)</f>
        <v/>
      </c>
    </row>
    <row r="676">
      <c r="A676" t="inlineStr">
        <is>
          <t>2026-04-21</t>
        </is>
      </c>
      <c r="B676" t="inlineStr">
        <is>
          <t>S03</t>
        </is>
      </c>
      <c r="C676" t="inlineStr">
        <is>
          <t>crops</t>
        </is>
      </c>
      <c r="D676" t="inlineStr">
        <is>
          <t>Harvest</t>
        </is>
      </c>
      <c r="E676" t="n">
        <v>8</v>
      </c>
      <c r="F676" t="n">
        <v>0</v>
      </c>
      <c r="G676">
        <f>IFERROR(INDEX('01_STAFF'!$F:$F,MATCH(B676,'01_STAFF'!$A:$A,0))*E676,0)</f>
        <v/>
      </c>
    </row>
    <row r="677">
      <c r="A677" t="inlineStr">
        <is>
          <t>2026-04-21</t>
        </is>
      </c>
      <c r="B677" t="inlineStr">
        <is>
          <t>S04</t>
        </is>
      </c>
      <c r="C677" t="inlineStr">
        <is>
          <t>shared</t>
        </is>
      </c>
      <c r="D677" t="inlineStr">
        <is>
          <t>Vaccination</t>
        </is>
      </c>
      <c r="E677" t="n">
        <v>6</v>
      </c>
      <c r="F677" t="n">
        <v>0</v>
      </c>
      <c r="G677">
        <f>IFERROR(INDEX('01_STAFF'!$F:$F,MATCH(B677,'01_STAFF'!$A:$A,0))*E677,0)</f>
        <v/>
      </c>
    </row>
    <row r="678">
      <c r="A678" t="inlineStr">
        <is>
          <t>2026-04-22</t>
        </is>
      </c>
      <c r="B678" t="inlineStr">
        <is>
          <t>S01</t>
        </is>
      </c>
      <c r="C678" t="inlineStr">
        <is>
          <t>piggery</t>
        </is>
      </c>
      <c r="D678" t="inlineStr">
        <is>
          <t>Cleaning</t>
        </is>
      </c>
      <c r="E678" t="n">
        <v>8</v>
      </c>
      <c r="F678" t="n">
        <v>0</v>
      </c>
      <c r="G678">
        <f>IFERROR(INDEX('01_STAFF'!$F:$F,MATCH(B678,'01_STAFF'!$A:$A,0))*E678,0)</f>
        <v/>
      </c>
    </row>
    <row r="679">
      <c r="A679" t="inlineStr">
        <is>
          <t>2026-04-22</t>
        </is>
      </c>
      <c r="B679" t="inlineStr">
        <is>
          <t>S02</t>
        </is>
      </c>
      <c r="C679" t="inlineStr">
        <is>
          <t>poultry</t>
        </is>
      </c>
      <c r="D679" t="inlineStr">
        <is>
          <t>Cleaning</t>
        </is>
      </c>
      <c r="E679" t="n">
        <v>8</v>
      </c>
      <c r="F679" t="n">
        <v>0</v>
      </c>
      <c r="G679">
        <f>IFERROR(INDEX('01_STAFF'!$F:$F,MATCH(B679,'01_STAFF'!$A:$A,0))*E679,0)</f>
        <v/>
      </c>
    </row>
    <row r="680">
      <c r="A680" t="inlineStr">
        <is>
          <t>2026-04-22</t>
        </is>
      </c>
      <c r="B680" t="inlineStr">
        <is>
          <t>S03</t>
        </is>
      </c>
      <c r="C680" t="inlineStr">
        <is>
          <t>crops</t>
        </is>
      </c>
      <c r="D680" t="inlineStr">
        <is>
          <t>Maintenance</t>
        </is>
      </c>
      <c r="E680" t="n">
        <v>8</v>
      </c>
      <c r="F680" t="n">
        <v>0</v>
      </c>
      <c r="G680">
        <f>IFERROR(INDEX('01_STAFF'!$F:$F,MATCH(B680,'01_STAFF'!$A:$A,0))*E680,0)</f>
        <v/>
      </c>
    </row>
    <row r="681">
      <c r="A681" t="inlineStr">
        <is>
          <t>2026-04-22</t>
        </is>
      </c>
      <c r="B681" t="inlineStr">
        <is>
          <t>S04</t>
        </is>
      </c>
      <c r="C681" t="inlineStr">
        <is>
          <t>shared</t>
        </is>
      </c>
      <c r="D681" t="inlineStr">
        <is>
          <t>Weighing</t>
        </is>
      </c>
      <c r="E681" t="n">
        <v>5</v>
      </c>
      <c r="F681" t="n">
        <v>0</v>
      </c>
      <c r="G681">
        <f>IFERROR(INDEX('01_STAFF'!$F:$F,MATCH(B681,'01_STAFF'!$A:$A,0))*E681,0)</f>
        <v/>
      </c>
    </row>
    <row r="682">
      <c r="A682" t="inlineStr">
        <is>
          <t>2026-04-23</t>
        </is>
      </c>
      <c r="B682" t="inlineStr">
        <is>
          <t>S01</t>
        </is>
      </c>
      <c r="C682" t="inlineStr">
        <is>
          <t>piggery</t>
        </is>
      </c>
      <c r="D682" t="inlineStr">
        <is>
          <t>Vaccination</t>
        </is>
      </c>
      <c r="E682" t="n">
        <v>8</v>
      </c>
      <c r="F682" t="n">
        <v>0</v>
      </c>
      <c r="G682">
        <f>IFERROR(INDEX('01_STAFF'!$F:$F,MATCH(B682,'01_STAFF'!$A:$A,0))*E682,0)</f>
        <v/>
      </c>
    </row>
    <row r="683">
      <c r="A683" t="inlineStr">
        <is>
          <t>2026-04-23</t>
        </is>
      </c>
      <c r="B683" t="inlineStr">
        <is>
          <t>S02</t>
        </is>
      </c>
      <c r="C683" t="inlineStr">
        <is>
          <t>poultry</t>
        </is>
      </c>
      <c r="D683" t="inlineStr">
        <is>
          <t>Weighing</t>
        </is>
      </c>
      <c r="E683" t="n">
        <v>8</v>
      </c>
      <c r="F683" t="n">
        <v>0</v>
      </c>
      <c r="G683">
        <f>IFERROR(INDEX('01_STAFF'!$F:$F,MATCH(B683,'01_STAFF'!$A:$A,0))*E683,0)</f>
        <v/>
      </c>
    </row>
    <row r="684">
      <c r="A684" t="inlineStr">
        <is>
          <t>2026-04-23</t>
        </is>
      </c>
      <c r="B684" t="inlineStr">
        <is>
          <t>S03</t>
        </is>
      </c>
      <c r="C684" t="inlineStr">
        <is>
          <t>crops</t>
        </is>
      </c>
      <c r="D684" t="inlineStr">
        <is>
          <t>Weeding</t>
        </is>
      </c>
      <c r="E684" t="n">
        <v>8</v>
      </c>
      <c r="F684" t="n">
        <v>0</v>
      </c>
      <c r="G684">
        <f>IFERROR(INDEX('01_STAFF'!$F:$F,MATCH(B684,'01_STAFF'!$A:$A,0))*E684,0)</f>
        <v/>
      </c>
    </row>
    <row r="685">
      <c r="A685" t="inlineStr">
        <is>
          <t>2026-04-23</t>
        </is>
      </c>
      <c r="B685" t="inlineStr">
        <is>
          <t>S04</t>
        </is>
      </c>
      <c r="C685" t="inlineStr">
        <is>
          <t>shared</t>
        </is>
      </c>
      <c r="D685" t="inlineStr">
        <is>
          <t>Maintenance</t>
        </is>
      </c>
      <c r="E685" t="n">
        <v>6</v>
      </c>
      <c r="F685" t="n">
        <v>0</v>
      </c>
      <c r="G685">
        <f>IFERROR(INDEX('01_STAFF'!$F:$F,MATCH(B685,'01_STAFF'!$A:$A,0))*E685,0)</f>
        <v/>
      </c>
    </row>
    <row r="686">
      <c r="A686" t="inlineStr">
        <is>
          <t>2026-04-24</t>
        </is>
      </c>
      <c r="B686" t="inlineStr">
        <is>
          <t>S01</t>
        </is>
      </c>
      <c r="C686" t="inlineStr">
        <is>
          <t>piggery</t>
        </is>
      </c>
      <c r="D686" t="inlineStr">
        <is>
          <t>Vaccination</t>
        </is>
      </c>
      <c r="E686" t="n">
        <v>8</v>
      </c>
      <c r="F686" t="n">
        <v>0</v>
      </c>
      <c r="G686">
        <f>IFERROR(INDEX('01_STAFF'!$F:$F,MATCH(B686,'01_STAFF'!$A:$A,0))*E686,0)</f>
        <v/>
      </c>
    </row>
    <row r="687">
      <c r="A687" t="inlineStr">
        <is>
          <t>2026-04-24</t>
        </is>
      </c>
      <c r="B687" t="inlineStr">
        <is>
          <t>S02</t>
        </is>
      </c>
      <c r="C687" t="inlineStr">
        <is>
          <t>poultry</t>
        </is>
      </c>
      <c r="D687" t="inlineStr">
        <is>
          <t>Vaccination</t>
        </is>
      </c>
      <c r="E687" t="n">
        <v>8</v>
      </c>
      <c r="F687" t="n">
        <v>0</v>
      </c>
      <c r="G687">
        <f>IFERROR(INDEX('01_STAFF'!$F:$F,MATCH(B687,'01_STAFF'!$A:$A,0))*E687,0)</f>
        <v/>
      </c>
    </row>
    <row r="688">
      <c r="A688" t="inlineStr">
        <is>
          <t>2026-04-24</t>
        </is>
      </c>
      <c r="B688" t="inlineStr">
        <is>
          <t>S03</t>
        </is>
      </c>
      <c r="C688" t="inlineStr">
        <is>
          <t>crops</t>
        </is>
      </c>
      <c r="D688" t="inlineStr">
        <is>
          <t>Land prep</t>
        </is>
      </c>
      <c r="E688" t="n">
        <v>8</v>
      </c>
      <c r="F688" t="n">
        <v>0</v>
      </c>
      <c r="G688">
        <f>IFERROR(INDEX('01_STAFF'!$F:$F,MATCH(B688,'01_STAFF'!$A:$A,0))*E688,0)</f>
        <v/>
      </c>
    </row>
    <row r="689">
      <c r="A689" t="inlineStr">
        <is>
          <t>2026-04-24</t>
        </is>
      </c>
      <c r="B689" t="inlineStr">
        <is>
          <t>S04</t>
        </is>
      </c>
      <c r="C689" t="inlineStr">
        <is>
          <t>shared</t>
        </is>
      </c>
      <c r="D689" t="inlineStr">
        <is>
          <t>Vaccination</t>
        </is>
      </c>
      <c r="E689" t="n">
        <v>6</v>
      </c>
      <c r="F689" t="n">
        <v>0</v>
      </c>
      <c r="G689">
        <f>IFERROR(INDEX('01_STAFF'!$F:$F,MATCH(B689,'01_STAFF'!$A:$A,0))*E689,0)</f>
        <v/>
      </c>
    </row>
    <row r="690">
      <c r="A690" t="inlineStr">
        <is>
          <t>2026-04-25</t>
        </is>
      </c>
      <c r="B690" t="inlineStr">
        <is>
          <t>S01</t>
        </is>
      </c>
      <c r="C690" t="inlineStr">
        <is>
          <t>piggery</t>
        </is>
      </c>
      <c r="D690" t="inlineStr">
        <is>
          <t>Feeding</t>
        </is>
      </c>
      <c r="E690" t="n">
        <v>8</v>
      </c>
      <c r="F690" t="n">
        <v>0</v>
      </c>
      <c r="G690">
        <f>IFERROR(INDEX('01_STAFF'!$F:$F,MATCH(B690,'01_STAFF'!$A:$A,0))*E690,0)</f>
        <v/>
      </c>
    </row>
    <row r="691">
      <c r="A691" t="inlineStr">
        <is>
          <t>2026-04-25</t>
        </is>
      </c>
      <c r="B691" t="inlineStr">
        <is>
          <t>S02</t>
        </is>
      </c>
      <c r="C691" t="inlineStr">
        <is>
          <t>poultry</t>
        </is>
      </c>
      <c r="D691" t="inlineStr">
        <is>
          <t>Feeding</t>
        </is>
      </c>
      <c r="E691" t="n">
        <v>8</v>
      </c>
      <c r="F691" t="n">
        <v>0</v>
      </c>
      <c r="G691">
        <f>IFERROR(INDEX('01_STAFF'!$F:$F,MATCH(B691,'01_STAFF'!$A:$A,0))*E691,0)</f>
        <v/>
      </c>
    </row>
    <row r="692">
      <c r="A692" t="inlineStr">
        <is>
          <t>2026-04-25</t>
        </is>
      </c>
      <c r="B692" t="inlineStr">
        <is>
          <t>S03</t>
        </is>
      </c>
      <c r="C692" t="inlineStr">
        <is>
          <t>crops</t>
        </is>
      </c>
      <c r="D692" t="inlineStr">
        <is>
          <t>Weeding</t>
        </is>
      </c>
      <c r="E692" t="n">
        <v>8</v>
      </c>
      <c r="F692" t="n">
        <v>0</v>
      </c>
      <c r="G692">
        <f>IFERROR(INDEX('01_STAFF'!$F:$F,MATCH(B692,'01_STAFF'!$A:$A,0))*E692,0)</f>
        <v/>
      </c>
    </row>
    <row r="693">
      <c r="A693" t="inlineStr">
        <is>
          <t>2026-04-25</t>
        </is>
      </c>
      <c r="B693" t="inlineStr">
        <is>
          <t>S04</t>
        </is>
      </c>
      <c r="C693" t="inlineStr">
        <is>
          <t>shared</t>
        </is>
      </c>
      <c r="D693" t="inlineStr">
        <is>
          <t>Vaccination</t>
        </is>
      </c>
      <c r="E693" t="n">
        <v>7</v>
      </c>
      <c r="F693" t="n">
        <v>0</v>
      </c>
      <c r="G693">
        <f>IFERROR(INDEX('01_STAFF'!$F:$F,MATCH(B693,'01_STAFF'!$A:$A,0))*E693,0)</f>
        <v/>
      </c>
    </row>
    <row r="694">
      <c r="A694" t="inlineStr">
        <is>
          <t>2026-04-27</t>
        </is>
      </c>
      <c r="B694" t="inlineStr">
        <is>
          <t>S01</t>
        </is>
      </c>
      <c r="C694" t="inlineStr">
        <is>
          <t>piggery</t>
        </is>
      </c>
      <c r="D694" t="inlineStr">
        <is>
          <t>Feeding</t>
        </is>
      </c>
      <c r="E694" t="n">
        <v>8</v>
      </c>
      <c r="F694" t="n">
        <v>0</v>
      </c>
      <c r="G694">
        <f>IFERROR(INDEX('01_STAFF'!$F:$F,MATCH(B694,'01_STAFF'!$A:$A,0))*E694,0)</f>
        <v/>
      </c>
    </row>
    <row r="695">
      <c r="A695" t="inlineStr">
        <is>
          <t>2026-04-27</t>
        </is>
      </c>
      <c r="B695" t="inlineStr">
        <is>
          <t>S02</t>
        </is>
      </c>
      <c r="C695" t="inlineStr">
        <is>
          <t>poultry</t>
        </is>
      </c>
      <c r="D695" t="inlineStr">
        <is>
          <t>Vaccination</t>
        </is>
      </c>
      <c r="E695" t="n">
        <v>8</v>
      </c>
      <c r="F695" t="n">
        <v>0</v>
      </c>
      <c r="G695">
        <f>IFERROR(INDEX('01_STAFF'!$F:$F,MATCH(B695,'01_STAFF'!$A:$A,0))*E695,0)</f>
        <v/>
      </c>
    </row>
    <row r="696">
      <c r="A696" t="inlineStr">
        <is>
          <t>2026-04-27</t>
        </is>
      </c>
      <c r="B696" t="inlineStr">
        <is>
          <t>S03</t>
        </is>
      </c>
      <c r="C696" t="inlineStr">
        <is>
          <t>crops</t>
        </is>
      </c>
      <c r="D696" t="inlineStr">
        <is>
          <t>Land prep</t>
        </is>
      </c>
      <c r="E696" t="n">
        <v>8</v>
      </c>
      <c r="F696" t="n">
        <v>0</v>
      </c>
      <c r="G696">
        <f>IFERROR(INDEX('01_STAFF'!$F:$F,MATCH(B696,'01_STAFF'!$A:$A,0))*E696,0)</f>
        <v/>
      </c>
    </row>
    <row r="697">
      <c r="A697" t="inlineStr">
        <is>
          <t>2026-04-27</t>
        </is>
      </c>
      <c r="B697" t="inlineStr">
        <is>
          <t>S04</t>
        </is>
      </c>
      <c r="C697" t="inlineStr">
        <is>
          <t>shared</t>
        </is>
      </c>
      <c r="D697" t="inlineStr">
        <is>
          <t>Maintenance</t>
        </is>
      </c>
      <c r="E697" t="n">
        <v>7</v>
      </c>
      <c r="F697" t="n">
        <v>1</v>
      </c>
      <c r="G697">
        <f>IFERROR(INDEX('01_STAFF'!$F:$F,MATCH(B697,'01_STAFF'!$A:$A,0))*E697,0)</f>
        <v/>
      </c>
    </row>
    <row r="698">
      <c r="A698" t="inlineStr">
        <is>
          <t>2026-04-28</t>
        </is>
      </c>
      <c r="B698" t="inlineStr">
        <is>
          <t>S01</t>
        </is>
      </c>
      <c r="C698" t="inlineStr">
        <is>
          <t>piggery</t>
        </is>
      </c>
      <c r="D698" t="inlineStr">
        <is>
          <t>Feeding</t>
        </is>
      </c>
      <c r="E698" t="n">
        <v>8</v>
      </c>
      <c r="F698" t="n">
        <v>0</v>
      </c>
      <c r="G698">
        <f>IFERROR(INDEX('01_STAFF'!$F:$F,MATCH(B698,'01_STAFF'!$A:$A,0))*E698,0)</f>
        <v/>
      </c>
    </row>
    <row r="699">
      <c r="A699" t="inlineStr">
        <is>
          <t>2026-04-28</t>
        </is>
      </c>
      <c r="B699" t="inlineStr">
        <is>
          <t>S02</t>
        </is>
      </c>
      <c r="C699" t="inlineStr">
        <is>
          <t>poultry</t>
        </is>
      </c>
      <c r="D699" t="inlineStr">
        <is>
          <t>Cleaning</t>
        </is>
      </c>
      <c r="E699" t="n">
        <v>8</v>
      </c>
      <c r="F699" t="n">
        <v>0</v>
      </c>
      <c r="G699">
        <f>IFERROR(INDEX('01_STAFF'!$F:$F,MATCH(B699,'01_STAFF'!$A:$A,0))*E699,0)</f>
        <v/>
      </c>
    </row>
    <row r="700">
      <c r="A700" t="inlineStr">
        <is>
          <t>2026-04-28</t>
        </is>
      </c>
      <c r="B700" t="inlineStr">
        <is>
          <t>S03</t>
        </is>
      </c>
      <c r="C700" t="inlineStr">
        <is>
          <t>crops</t>
        </is>
      </c>
      <c r="D700" t="inlineStr">
        <is>
          <t>Maintenance</t>
        </is>
      </c>
      <c r="E700" t="n">
        <v>8</v>
      </c>
      <c r="F700" t="n">
        <v>0</v>
      </c>
      <c r="G700">
        <f>IFERROR(INDEX('01_STAFF'!$F:$F,MATCH(B700,'01_STAFF'!$A:$A,0))*E700,0)</f>
        <v/>
      </c>
    </row>
    <row r="701">
      <c r="A701" t="inlineStr">
        <is>
          <t>2026-04-28</t>
        </is>
      </c>
      <c r="B701" t="inlineStr">
        <is>
          <t>S04</t>
        </is>
      </c>
      <c r="C701" t="inlineStr">
        <is>
          <t>shared</t>
        </is>
      </c>
      <c r="D701" t="inlineStr">
        <is>
          <t>Marketing</t>
        </is>
      </c>
      <c r="E701" t="n">
        <v>6</v>
      </c>
      <c r="F701" t="n">
        <v>0</v>
      </c>
      <c r="G701">
        <f>IFERROR(INDEX('01_STAFF'!$F:$F,MATCH(B701,'01_STAFF'!$A:$A,0))*E701,0)</f>
        <v/>
      </c>
    </row>
    <row r="702">
      <c r="A702" t="inlineStr">
        <is>
          <t>2026-04-29</t>
        </is>
      </c>
      <c r="B702" t="inlineStr">
        <is>
          <t>S01</t>
        </is>
      </c>
      <c r="C702" t="inlineStr">
        <is>
          <t>piggery</t>
        </is>
      </c>
      <c r="D702" t="inlineStr">
        <is>
          <t>Cleaning</t>
        </is>
      </c>
      <c r="E702" t="n">
        <v>8</v>
      </c>
      <c r="F702" t="n">
        <v>0</v>
      </c>
      <c r="G702">
        <f>IFERROR(INDEX('01_STAFF'!$F:$F,MATCH(B702,'01_STAFF'!$A:$A,0))*E702,0)</f>
        <v/>
      </c>
    </row>
    <row r="703">
      <c r="A703" t="inlineStr">
        <is>
          <t>2026-04-29</t>
        </is>
      </c>
      <c r="B703" t="inlineStr">
        <is>
          <t>S02</t>
        </is>
      </c>
      <c r="C703" t="inlineStr">
        <is>
          <t>poultry</t>
        </is>
      </c>
      <c r="D703" t="inlineStr">
        <is>
          <t>Feeding</t>
        </is>
      </c>
      <c r="E703" t="n">
        <v>8</v>
      </c>
      <c r="F703" t="n">
        <v>0</v>
      </c>
      <c r="G703">
        <f>IFERROR(INDEX('01_STAFF'!$F:$F,MATCH(B703,'01_STAFF'!$A:$A,0))*E703,0)</f>
        <v/>
      </c>
    </row>
    <row r="704">
      <c r="A704" t="inlineStr">
        <is>
          <t>2026-04-29</t>
        </is>
      </c>
      <c r="B704" t="inlineStr">
        <is>
          <t>S03</t>
        </is>
      </c>
      <c r="C704" t="inlineStr">
        <is>
          <t>crops</t>
        </is>
      </c>
      <c r="D704" t="inlineStr">
        <is>
          <t>Spraying</t>
        </is>
      </c>
      <c r="E704" t="n">
        <v>8</v>
      </c>
      <c r="F704" t="n">
        <v>0</v>
      </c>
      <c r="G704">
        <f>IFERROR(INDEX('01_STAFF'!$F:$F,MATCH(B704,'01_STAFF'!$A:$A,0))*E704,0)</f>
        <v/>
      </c>
    </row>
    <row r="705">
      <c r="A705" t="inlineStr">
        <is>
          <t>2026-04-29</t>
        </is>
      </c>
      <c r="B705" t="inlineStr">
        <is>
          <t>S04</t>
        </is>
      </c>
      <c r="C705" t="inlineStr">
        <is>
          <t>shared</t>
        </is>
      </c>
      <c r="D705" t="inlineStr">
        <is>
          <t>Vaccination</t>
        </is>
      </c>
      <c r="E705" t="n">
        <v>6</v>
      </c>
      <c r="F705" t="n">
        <v>0</v>
      </c>
      <c r="G705">
        <f>IFERROR(INDEX('01_STAFF'!$F:$F,MATCH(B705,'01_STAFF'!$A:$A,0))*E705,0)</f>
        <v/>
      </c>
    </row>
    <row r="706">
      <c r="A706" t="inlineStr">
        <is>
          <t>2026-04-30</t>
        </is>
      </c>
      <c r="B706" t="inlineStr">
        <is>
          <t>S01</t>
        </is>
      </c>
      <c r="C706" t="inlineStr">
        <is>
          <t>piggery</t>
        </is>
      </c>
      <c r="D706" t="inlineStr">
        <is>
          <t>Cleaning</t>
        </is>
      </c>
      <c r="E706" t="n">
        <v>8</v>
      </c>
      <c r="F706" t="n">
        <v>0</v>
      </c>
      <c r="G706">
        <f>IFERROR(INDEX('01_STAFF'!$F:$F,MATCH(B706,'01_STAFF'!$A:$A,0))*E706,0)</f>
        <v/>
      </c>
    </row>
    <row r="707">
      <c r="A707" t="inlineStr">
        <is>
          <t>2026-04-30</t>
        </is>
      </c>
      <c r="B707" t="inlineStr">
        <is>
          <t>S02</t>
        </is>
      </c>
      <c r="C707" t="inlineStr">
        <is>
          <t>poultry</t>
        </is>
      </c>
      <c r="D707" t="inlineStr">
        <is>
          <t>Vaccination</t>
        </is>
      </c>
      <c r="E707" t="n">
        <v>8</v>
      </c>
      <c r="F707" t="n">
        <v>0</v>
      </c>
      <c r="G707">
        <f>IFERROR(INDEX('01_STAFF'!$F:$F,MATCH(B707,'01_STAFF'!$A:$A,0))*E707,0)</f>
        <v/>
      </c>
    </row>
    <row r="708">
      <c r="A708" t="inlineStr">
        <is>
          <t>2026-04-30</t>
        </is>
      </c>
      <c r="B708" t="inlineStr">
        <is>
          <t>S03</t>
        </is>
      </c>
      <c r="C708" t="inlineStr">
        <is>
          <t>crops</t>
        </is>
      </c>
      <c r="D708" t="inlineStr">
        <is>
          <t>Harvest</t>
        </is>
      </c>
      <c r="E708" t="n">
        <v>8</v>
      </c>
      <c r="F708" t="n">
        <v>0</v>
      </c>
      <c r="G708">
        <f>IFERROR(INDEX('01_STAFF'!$F:$F,MATCH(B708,'01_STAFF'!$A:$A,0))*E708,0)</f>
        <v/>
      </c>
    </row>
    <row r="709">
      <c r="A709" t="inlineStr">
        <is>
          <t>2026-04-30</t>
        </is>
      </c>
      <c r="B709" t="inlineStr">
        <is>
          <t>S04</t>
        </is>
      </c>
      <c r="C709" t="inlineStr">
        <is>
          <t>shared</t>
        </is>
      </c>
      <c r="D709" t="inlineStr">
        <is>
          <t>Weighing</t>
        </is>
      </c>
      <c r="E709" t="n">
        <v>7</v>
      </c>
      <c r="F709" t="n">
        <v>0</v>
      </c>
      <c r="G709">
        <f>IFERROR(INDEX('01_STAFF'!$F:$F,MATCH(B709,'01_STAFF'!$A:$A,0))*E709,0)</f>
        <v/>
      </c>
    </row>
    <row r="710">
      <c r="A710" t="inlineStr">
        <is>
          <t>2026-05-01</t>
        </is>
      </c>
      <c r="B710" t="inlineStr">
        <is>
          <t>S01</t>
        </is>
      </c>
      <c r="C710" t="inlineStr">
        <is>
          <t>piggery</t>
        </is>
      </c>
      <c r="D710" t="inlineStr">
        <is>
          <t>Feeding</t>
        </is>
      </c>
      <c r="E710" t="n">
        <v>8</v>
      </c>
      <c r="F710" t="n">
        <v>0</v>
      </c>
      <c r="G710">
        <f>IFERROR(INDEX('01_STAFF'!$F:$F,MATCH(B710,'01_STAFF'!$A:$A,0))*E710,0)</f>
        <v/>
      </c>
    </row>
    <row r="711">
      <c r="A711" t="inlineStr">
        <is>
          <t>2026-05-01</t>
        </is>
      </c>
      <c r="B711" t="inlineStr">
        <is>
          <t>S02</t>
        </is>
      </c>
      <c r="C711" t="inlineStr">
        <is>
          <t>poultry</t>
        </is>
      </c>
      <c r="D711" t="inlineStr">
        <is>
          <t>Feeding</t>
        </is>
      </c>
      <c r="E711" t="n">
        <v>8</v>
      </c>
      <c r="F711" t="n">
        <v>1</v>
      </c>
      <c r="G711">
        <f>IFERROR(INDEX('01_STAFF'!$F:$F,MATCH(B711,'01_STAFF'!$A:$A,0))*E711,0)</f>
        <v/>
      </c>
    </row>
    <row r="712">
      <c r="A712" t="inlineStr">
        <is>
          <t>2026-05-01</t>
        </is>
      </c>
      <c r="B712" t="inlineStr">
        <is>
          <t>S03</t>
        </is>
      </c>
      <c r="C712" t="inlineStr">
        <is>
          <t>crops</t>
        </is>
      </c>
      <c r="D712" t="inlineStr">
        <is>
          <t>Weeding</t>
        </is>
      </c>
      <c r="E712" t="n">
        <v>8</v>
      </c>
      <c r="F712" t="n">
        <v>0</v>
      </c>
      <c r="G712">
        <f>IFERROR(INDEX('01_STAFF'!$F:$F,MATCH(B712,'01_STAFF'!$A:$A,0))*E712,0)</f>
        <v/>
      </c>
    </row>
    <row r="713">
      <c r="A713" t="inlineStr">
        <is>
          <t>2026-05-01</t>
        </is>
      </c>
      <c r="B713" t="inlineStr">
        <is>
          <t>S04</t>
        </is>
      </c>
      <c r="C713" t="inlineStr">
        <is>
          <t>shared</t>
        </is>
      </c>
      <c r="D713" t="inlineStr">
        <is>
          <t>Maintenance</t>
        </is>
      </c>
      <c r="E713" t="n">
        <v>6</v>
      </c>
      <c r="F713" t="n">
        <v>0</v>
      </c>
      <c r="G713">
        <f>IFERROR(INDEX('01_STAFF'!$F:$F,MATCH(B713,'01_STAFF'!$A:$A,0))*E713,0)</f>
        <v/>
      </c>
    </row>
    <row r="714">
      <c r="A714" t="inlineStr">
        <is>
          <t>2026-05-02</t>
        </is>
      </c>
      <c r="B714" t="inlineStr">
        <is>
          <t>S01</t>
        </is>
      </c>
      <c r="C714" t="inlineStr">
        <is>
          <t>piggery</t>
        </is>
      </c>
      <c r="D714" t="inlineStr">
        <is>
          <t>Feeding</t>
        </is>
      </c>
      <c r="E714" t="n">
        <v>8</v>
      </c>
      <c r="F714" t="n">
        <v>0</v>
      </c>
      <c r="G714">
        <f>IFERROR(INDEX('01_STAFF'!$F:$F,MATCH(B714,'01_STAFF'!$A:$A,0))*E714,0)</f>
        <v/>
      </c>
    </row>
    <row r="715">
      <c r="A715" t="inlineStr">
        <is>
          <t>2026-05-02</t>
        </is>
      </c>
      <c r="B715" t="inlineStr">
        <is>
          <t>S02</t>
        </is>
      </c>
      <c r="C715" t="inlineStr">
        <is>
          <t>poultry</t>
        </is>
      </c>
      <c r="D715" t="inlineStr">
        <is>
          <t>Weighing</t>
        </is>
      </c>
      <c r="E715" t="n">
        <v>8</v>
      </c>
      <c r="F715" t="n">
        <v>0</v>
      </c>
      <c r="G715">
        <f>IFERROR(INDEX('01_STAFF'!$F:$F,MATCH(B715,'01_STAFF'!$A:$A,0))*E715,0)</f>
        <v/>
      </c>
    </row>
    <row r="716">
      <c r="A716" t="inlineStr">
        <is>
          <t>2026-05-02</t>
        </is>
      </c>
      <c r="B716" t="inlineStr">
        <is>
          <t>S03</t>
        </is>
      </c>
      <c r="C716" t="inlineStr">
        <is>
          <t>crops</t>
        </is>
      </c>
      <c r="D716" t="inlineStr">
        <is>
          <t>Maintenance</t>
        </is>
      </c>
      <c r="E716" t="n">
        <v>8</v>
      </c>
      <c r="F716" t="n">
        <v>0</v>
      </c>
      <c r="G716">
        <f>IFERROR(INDEX('01_STAFF'!$F:$F,MATCH(B716,'01_STAFF'!$A:$A,0))*E716,0)</f>
        <v/>
      </c>
    </row>
    <row r="717">
      <c r="A717" t="inlineStr">
        <is>
          <t>2026-05-02</t>
        </is>
      </c>
      <c r="B717" t="inlineStr">
        <is>
          <t>S04</t>
        </is>
      </c>
      <c r="C717" t="inlineStr">
        <is>
          <t>shared</t>
        </is>
      </c>
      <c r="D717" t="inlineStr">
        <is>
          <t>Vaccination</t>
        </is>
      </c>
      <c r="E717" t="n">
        <v>7</v>
      </c>
      <c r="F717" t="n">
        <v>1</v>
      </c>
      <c r="G717">
        <f>IFERROR(INDEX('01_STAFF'!$F:$F,MATCH(B717,'01_STAFF'!$A:$A,0))*E717,0)</f>
        <v/>
      </c>
    </row>
    <row r="718">
      <c r="A718" t="inlineStr">
        <is>
          <t>2026-05-04</t>
        </is>
      </c>
      <c r="B718" t="inlineStr">
        <is>
          <t>S01</t>
        </is>
      </c>
      <c r="C718" t="inlineStr">
        <is>
          <t>piggery</t>
        </is>
      </c>
      <c r="D718" t="inlineStr">
        <is>
          <t>Cleaning</t>
        </is>
      </c>
      <c r="E718" t="n">
        <v>8</v>
      </c>
      <c r="F718" t="n">
        <v>0</v>
      </c>
      <c r="G718">
        <f>IFERROR(INDEX('01_STAFF'!$F:$F,MATCH(B718,'01_STAFF'!$A:$A,0))*E718,0)</f>
        <v/>
      </c>
    </row>
    <row r="719">
      <c r="A719" t="inlineStr">
        <is>
          <t>2026-05-04</t>
        </is>
      </c>
      <c r="B719" t="inlineStr">
        <is>
          <t>S02</t>
        </is>
      </c>
      <c r="C719" t="inlineStr">
        <is>
          <t>poultry</t>
        </is>
      </c>
      <c r="D719" t="inlineStr">
        <is>
          <t>Cleaning</t>
        </is>
      </c>
      <c r="E719" t="n">
        <v>8</v>
      </c>
      <c r="F719" t="n">
        <v>0</v>
      </c>
      <c r="G719">
        <f>IFERROR(INDEX('01_STAFF'!$F:$F,MATCH(B719,'01_STAFF'!$A:$A,0))*E719,0)</f>
        <v/>
      </c>
    </row>
    <row r="720">
      <c r="A720" t="inlineStr">
        <is>
          <t>2026-05-04</t>
        </is>
      </c>
      <c r="B720" t="inlineStr">
        <is>
          <t>S03</t>
        </is>
      </c>
      <c r="C720" t="inlineStr">
        <is>
          <t>crops</t>
        </is>
      </c>
      <c r="D720" t="inlineStr">
        <is>
          <t>Maintenance</t>
        </is>
      </c>
      <c r="E720" t="n">
        <v>8</v>
      </c>
      <c r="F720" t="n">
        <v>0</v>
      </c>
      <c r="G720">
        <f>IFERROR(INDEX('01_STAFF'!$F:$F,MATCH(B720,'01_STAFF'!$A:$A,0))*E720,0)</f>
        <v/>
      </c>
    </row>
    <row r="721">
      <c r="A721" t="inlineStr">
        <is>
          <t>2026-05-04</t>
        </is>
      </c>
      <c r="B721" t="inlineStr">
        <is>
          <t>S04</t>
        </is>
      </c>
      <c r="C721" t="inlineStr">
        <is>
          <t>shared</t>
        </is>
      </c>
      <c r="D721" t="inlineStr">
        <is>
          <t>Weighing</t>
        </is>
      </c>
      <c r="E721" t="n">
        <v>7</v>
      </c>
      <c r="F721" t="n">
        <v>0</v>
      </c>
      <c r="G721">
        <f>IFERROR(INDEX('01_STAFF'!$F:$F,MATCH(B721,'01_STAFF'!$A:$A,0))*E721,0)</f>
        <v/>
      </c>
    </row>
    <row r="722">
      <c r="A722" t="inlineStr">
        <is>
          <t>2026-05-05</t>
        </is>
      </c>
      <c r="B722" t="inlineStr">
        <is>
          <t>S01</t>
        </is>
      </c>
      <c r="C722" t="inlineStr">
        <is>
          <t>piggery</t>
        </is>
      </c>
      <c r="D722" t="inlineStr">
        <is>
          <t>Weighing</t>
        </is>
      </c>
      <c r="E722" t="n">
        <v>8</v>
      </c>
      <c r="F722" t="n">
        <v>0</v>
      </c>
      <c r="G722">
        <f>IFERROR(INDEX('01_STAFF'!$F:$F,MATCH(B722,'01_STAFF'!$A:$A,0))*E722,0)</f>
        <v/>
      </c>
    </row>
    <row r="723">
      <c r="A723" t="inlineStr">
        <is>
          <t>2026-05-05</t>
        </is>
      </c>
      <c r="B723" t="inlineStr">
        <is>
          <t>S02</t>
        </is>
      </c>
      <c r="C723" t="inlineStr">
        <is>
          <t>poultry</t>
        </is>
      </c>
      <c r="D723" t="inlineStr">
        <is>
          <t>Cleaning</t>
        </is>
      </c>
      <c r="E723" t="n">
        <v>8</v>
      </c>
      <c r="F723" t="n">
        <v>0</v>
      </c>
      <c r="G723">
        <f>IFERROR(INDEX('01_STAFF'!$F:$F,MATCH(B723,'01_STAFF'!$A:$A,0))*E723,0)</f>
        <v/>
      </c>
    </row>
    <row r="724">
      <c r="A724" t="inlineStr">
        <is>
          <t>2026-05-05</t>
        </is>
      </c>
      <c r="B724" t="inlineStr">
        <is>
          <t>S03</t>
        </is>
      </c>
      <c r="C724" t="inlineStr">
        <is>
          <t>crops</t>
        </is>
      </c>
      <c r="D724" t="inlineStr">
        <is>
          <t>Weeding</t>
        </is>
      </c>
      <c r="E724" t="n">
        <v>8</v>
      </c>
      <c r="F724" t="n">
        <v>1</v>
      </c>
      <c r="G724">
        <f>IFERROR(INDEX('01_STAFF'!$F:$F,MATCH(B724,'01_STAFF'!$A:$A,0))*E724,0)</f>
        <v/>
      </c>
    </row>
    <row r="725">
      <c r="A725" t="inlineStr">
        <is>
          <t>2026-05-05</t>
        </is>
      </c>
      <c r="B725" t="inlineStr">
        <is>
          <t>S04</t>
        </is>
      </c>
      <c r="C725" t="inlineStr">
        <is>
          <t>shared</t>
        </is>
      </c>
      <c r="D725" t="inlineStr">
        <is>
          <t>Vaccination</t>
        </is>
      </c>
      <c r="E725" t="n">
        <v>7</v>
      </c>
      <c r="F725" t="n">
        <v>0</v>
      </c>
      <c r="G725">
        <f>IFERROR(INDEX('01_STAFF'!$F:$F,MATCH(B725,'01_STAFF'!$A:$A,0))*E725,0)</f>
        <v/>
      </c>
    </row>
    <row r="726">
      <c r="A726" t="inlineStr">
        <is>
          <t>2026-05-06</t>
        </is>
      </c>
      <c r="B726" t="inlineStr">
        <is>
          <t>S02</t>
        </is>
      </c>
      <c r="C726" t="inlineStr">
        <is>
          <t>poultry</t>
        </is>
      </c>
      <c r="D726" t="inlineStr">
        <is>
          <t>Weighing</t>
        </is>
      </c>
      <c r="E726" t="n">
        <v>8</v>
      </c>
      <c r="F726" t="n">
        <v>0</v>
      </c>
      <c r="G726">
        <f>IFERROR(INDEX('01_STAFF'!$F:$F,MATCH(B726,'01_STAFF'!$A:$A,0))*E726,0)</f>
        <v/>
      </c>
    </row>
    <row r="727">
      <c r="A727" t="inlineStr">
        <is>
          <t>2026-05-06</t>
        </is>
      </c>
      <c r="B727" t="inlineStr">
        <is>
          <t>S03</t>
        </is>
      </c>
      <c r="C727" t="inlineStr">
        <is>
          <t>crops</t>
        </is>
      </c>
      <c r="D727" t="inlineStr">
        <is>
          <t>Harvest</t>
        </is>
      </c>
      <c r="E727" t="n">
        <v>8</v>
      </c>
      <c r="F727" t="n">
        <v>0</v>
      </c>
      <c r="G727">
        <f>IFERROR(INDEX('01_STAFF'!$F:$F,MATCH(B727,'01_STAFF'!$A:$A,0))*E727,0)</f>
        <v/>
      </c>
    </row>
    <row r="728">
      <c r="A728" t="inlineStr">
        <is>
          <t>2026-05-06</t>
        </is>
      </c>
      <c r="B728" t="inlineStr">
        <is>
          <t>S04</t>
        </is>
      </c>
      <c r="C728" t="inlineStr">
        <is>
          <t>shared</t>
        </is>
      </c>
      <c r="D728" t="inlineStr">
        <is>
          <t>Maintenance</t>
        </is>
      </c>
      <c r="E728" t="n">
        <v>7</v>
      </c>
      <c r="F728" t="n">
        <v>0</v>
      </c>
      <c r="G728">
        <f>IFERROR(INDEX('01_STAFF'!$F:$F,MATCH(B728,'01_STAFF'!$A:$A,0))*E728,0)</f>
        <v/>
      </c>
    </row>
    <row r="729">
      <c r="A729" t="inlineStr">
        <is>
          <t>2026-05-07</t>
        </is>
      </c>
      <c r="B729" t="inlineStr">
        <is>
          <t>S01</t>
        </is>
      </c>
      <c r="C729" t="inlineStr">
        <is>
          <t>piggery</t>
        </is>
      </c>
      <c r="D729" t="inlineStr">
        <is>
          <t>Feeding</t>
        </is>
      </c>
      <c r="E729" t="n">
        <v>8</v>
      </c>
      <c r="F729" t="n">
        <v>1</v>
      </c>
      <c r="G729">
        <f>IFERROR(INDEX('01_STAFF'!$F:$F,MATCH(B729,'01_STAFF'!$A:$A,0))*E729,0)</f>
        <v/>
      </c>
    </row>
    <row r="730">
      <c r="A730" t="inlineStr">
        <is>
          <t>2026-05-07</t>
        </is>
      </c>
      <c r="B730" t="inlineStr">
        <is>
          <t>S02</t>
        </is>
      </c>
      <c r="C730" t="inlineStr">
        <is>
          <t>poultry</t>
        </is>
      </c>
      <c r="D730" t="inlineStr">
        <is>
          <t>Feeding</t>
        </is>
      </c>
      <c r="E730" t="n">
        <v>8</v>
      </c>
      <c r="F730" t="n">
        <v>0</v>
      </c>
      <c r="G730">
        <f>IFERROR(INDEX('01_STAFF'!$F:$F,MATCH(B730,'01_STAFF'!$A:$A,0))*E730,0)</f>
        <v/>
      </c>
    </row>
    <row r="731">
      <c r="A731" t="inlineStr">
        <is>
          <t>2026-05-07</t>
        </is>
      </c>
      <c r="B731" t="inlineStr">
        <is>
          <t>S03</t>
        </is>
      </c>
      <c r="C731" t="inlineStr">
        <is>
          <t>crops</t>
        </is>
      </c>
      <c r="D731" t="inlineStr">
        <is>
          <t>Land prep</t>
        </is>
      </c>
      <c r="E731" t="n">
        <v>8</v>
      </c>
      <c r="F731" t="n">
        <v>0</v>
      </c>
      <c r="G731">
        <f>IFERROR(INDEX('01_STAFF'!$F:$F,MATCH(B731,'01_STAFF'!$A:$A,0))*E731,0)</f>
        <v/>
      </c>
    </row>
    <row r="732">
      <c r="A732" t="inlineStr">
        <is>
          <t>2026-05-07</t>
        </is>
      </c>
      <c r="B732" t="inlineStr">
        <is>
          <t>S04</t>
        </is>
      </c>
      <c r="C732" t="inlineStr">
        <is>
          <t>shared</t>
        </is>
      </c>
      <c r="D732" t="inlineStr">
        <is>
          <t>Marketing</t>
        </is>
      </c>
      <c r="E732" t="n">
        <v>6</v>
      </c>
      <c r="F732" t="n">
        <v>0</v>
      </c>
      <c r="G732">
        <f>IFERROR(INDEX('01_STAFF'!$F:$F,MATCH(B732,'01_STAFF'!$A:$A,0))*E732,0)</f>
        <v/>
      </c>
    </row>
    <row r="733">
      <c r="A733" t="inlineStr">
        <is>
          <t>2026-05-08</t>
        </is>
      </c>
      <c r="B733" t="inlineStr">
        <is>
          <t>S01</t>
        </is>
      </c>
      <c r="C733" t="inlineStr">
        <is>
          <t>piggery</t>
        </is>
      </c>
      <c r="D733" t="inlineStr">
        <is>
          <t>Cleaning</t>
        </is>
      </c>
      <c r="E733" t="n">
        <v>8</v>
      </c>
      <c r="F733" t="n">
        <v>0</v>
      </c>
      <c r="G733">
        <f>IFERROR(INDEX('01_STAFF'!$F:$F,MATCH(B733,'01_STAFF'!$A:$A,0))*E733,0)</f>
        <v/>
      </c>
    </row>
    <row r="734">
      <c r="A734" t="inlineStr">
        <is>
          <t>2026-05-08</t>
        </is>
      </c>
      <c r="B734" t="inlineStr">
        <is>
          <t>S02</t>
        </is>
      </c>
      <c r="C734" t="inlineStr">
        <is>
          <t>poultry</t>
        </is>
      </c>
      <c r="D734" t="inlineStr">
        <is>
          <t>Cleaning</t>
        </is>
      </c>
      <c r="E734" t="n">
        <v>8</v>
      </c>
      <c r="F734" t="n">
        <v>0</v>
      </c>
      <c r="G734">
        <f>IFERROR(INDEX('01_STAFF'!$F:$F,MATCH(B734,'01_STAFF'!$A:$A,0))*E734,0)</f>
        <v/>
      </c>
    </row>
    <row r="735">
      <c r="A735" t="inlineStr">
        <is>
          <t>2026-05-08</t>
        </is>
      </c>
      <c r="B735" t="inlineStr">
        <is>
          <t>S03</t>
        </is>
      </c>
      <c r="C735" t="inlineStr">
        <is>
          <t>crops</t>
        </is>
      </c>
      <c r="D735" t="inlineStr">
        <is>
          <t>Weeding</t>
        </is>
      </c>
      <c r="E735" t="n">
        <v>8</v>
      </c>
      <c r="F735" t="n">
        <v>0</v>
      </c>
      <c r="G735">
        <f>IFERROR(INDEX('01_STAFF'!$F:$F,MATCH(B735,'01_STAFF'!$A:$A,0))*E735,0)</f>
        <v/>
      </c>
    </row>
    <row r="736">
      <c r="A736" t="inlineStr">
        <is>
          <t>2026-05-08</t>
        </is>
      </c>
      <c r="B736" t="inlineStr">
        <is>
          <t>S04</t>
        </is>
      </c>
      <c r="C736" t="inlineStr">
        <is>
          <t>shared</t>
        </is>
      </c>
      <c r="D736" t="inlineStr">
        <is>
          <t>Maintenance</t>
        </is>
      </c>
      <c r="E736" t="n">
        <v>5</v>
      </c>
      <c r="F736" t="n">
        <v>0</v>
      </c>
      <c r="G736">
        <f>IFERROR(INDEX('01_STAFF'!$F:$F,MATCH(B736,'01_STAFF'!$A:$A,0))*E736,0)</f>
        <v/>
      </c>
    </row>
    <row r="737">
      <c r="A737" t="inlineStr">
        <is>
          <t>2026-05-09</t>
        </is>
      </c>
      <c r="B737" t="inlineStr">
        <is>
          <t>S01</t>
        </is>
      </c>
      <c r="C737" t="inlineStr">
        <is>
          <t>piggery</t>
        </is>
      </c>
      <c r="D737" t="inlineStr">
        <is>
          <t>Feeding</t>
        </is>
      </c>
      <c r="E737" t="n">
        <v>8</v>
      </c>
      <c r="F737" t="n">
        <v>1</v>
      </c>
      <c r="G737">
        <f>IFERROR(INDEX('01_STAFF'!$F:$F,MATCH(B737,'01_STAFF'!$A:$A,0))*E737,0)</f>
        <v/>
      </c>
    </row>
    <row r="738">
      <c r="A738" t="inlineStr">
        <is>
          <t>2026-05-09</t>
        </is>
      </c>
      <c r="B738" t="inlineStr">
        <is>
          <t>S02</t>
        </is>
      </c>
      <c r="C738" t="inlineStr">
        <is>
          <t>poultry</t>
        </is>
      </c>
      <c r="D738" t="inlineStr">
        <is>
          <t>Vaccination</t>
        </is>
      </c>
      <c r="E738" t="n">
        <v>8</v>
      </c>
      <c r="F738" t="n">
        <v>0</v>
      </c>
      <c r="G738">
        <f>IFERROR(INDEX('01_STAFF'!$F:$F,MATCH(B738,'01_STAFF'!$A:$A,0))*E738,0)</f>
        <v/>
      </c>
    </row>
    <row r="739">
      <c r="A739" t="inlineStr">
        <is>
          <t>2026-05-09</t>
        </is>
      </c>
      <c r="B739" t="inlineStr">
        <is>
          <t>S04</t>
        </is>
      </c>
      <c r="C739" t="inlineStr">
        <is>
          <t>shared</t>
        </is>
      </c>
      <c r="D739" t="inlineStr">
        <is>
          <t>Weighing</t>
        </is>
      </c>
      <c r="E739" t="n">
        <v>6</v>
      </c>
      <c r="F739" t="n">
        <v>0</v>
      </c>
      <c r="G739">
        <f>IFERROR(INDEX('01_STAFF'!$F:$F,MATCH(B739,'01_STAFF'!$A:$A,0))*E739,0)</f>
        <v/>
      </c>
    </row>
    <row r="740">
      <c r="A740" t="inlineStr">
        <is>
          <t>2026-05-11</t>
        </is>
      </c>
      <c r="B740" t="inlineStr">
        <is>
          <t>S01</t>
        </is>
      </c>
      <c r="C740" t="inlineStr">
        <is>
          <t>piggery</t>
        </is>
      </c>
      <c r="D740" t="inlineStr">
        <is>
          <t>Vaccination</t>
        </is>
      </c>
      <c r="E740" t="n">
        <v>8</v>
      </c>
      <c r="F740" t="n">
        <v>0</v>
      </c>
      <c r="G740">
        <f>IFERROR(INDEX('01_STAFF'!$F:$F,MATCH(B740,'01_STAFF'!$A:$A,0))*E740,0)</f>
        <v/>
      </c>
    </row>
    <row r="741">
      <c r="A741" t="inlineStr">
        <is>
          <t>2026-05-11</t>
        </is>
      </c>
      <c r="B741" t="inlineStr">
        <is>
          <t>S02</t>
        </is>
      </c>
      <c r="C741" t="inlineStr">
        <is>
          <t>poultry</t>
        </is>
      </c>
      <c r="D741" t="inlineStr">
        <is>
          <t>Vaccination</t>
        </is>
      </c>
      <c r="E741" t="n">
        <v>8</v>
      </c>
      <c r="F741" t="n">
        <v>0</v>
      </c>
      <c r="G741">
        <f>IFERROR(INDEX('01_STAFF'!$F:$F,MATCH(B741,'01_STAFF'!$A:$A,0))*E741,0)</f>
        <v/>
      </c>
    </row>
    <row r="742">
      <c r="A742" t="inlineStr">
        <is>
          <t>2026-05-11</t>
        </is>
      </c>
      <c r="B742" t="inlineStr">
        <is>
          <t>S03</t>
        </is>
      </c>
      <c r="C742" t="inlineStr">
        <is>
          <t>crops</t>
        </is>
      </c>
      <c r="D742" t="inlineStr">
        <is>
          <t>Weeding</t>
        </is>
      </c>
      <c r="E742" t="n">
        <v>8</v>
      </c>
      <c r="F742" t="n">
        <v>0</v>
      </c>
      <c r="G742">
        <f>IFERROR(INDEX('01_STAFF'!$F:$F,MATCH(B742,'01_STAFF'!$A:$A,0))*E742,0)</f>
        <v/>
      </c>
    </row>
    <row r="743">
      <c r="A743" t="inlineStr">
        <is>
          <t>2026-05-11</t>
        </is>
      </c>
      <c r="B743" t="inlineStr">
        <is>
          <t>S04</t>
        </is>
      </c>
      <c r="C743" t="inlineStr">
        <is>
          <t>shared</t>
        </is>
      </c>
      <c r="D743" t="inlineStr">
        <is>
          <t>Weighing</t>
        </is>
      </c>
      <c r="E743" t="n">
        <v>5</v>
      </c>
      <c r="F743" t="n">
        <v>0</v>
      </c>
      <c r="G743">
        <f>IFERROR(INDEX('01_STAFF'!$F:$F,MATCH(B743,'01_STAFF'!$A:$A,0))*E743,0)</f>
        <v/>
      </c>
    </row>
    <row r="744">
      <c r="A744" t="inlineStr">
        <is>
          <t>2026-05-12</t>
        </is>
      </c>
      <c r="B744" t="inlineStr">
        <is>
          <t>S01</t>
        </is>
      </c>
      <c r="C744" t="inlineStr">
        <is>
          <t>piggery</t>
        </is>
      </c>
      <c r="D744" t="inlineStr">
        <is>
          <t>Feeding</t>
        </is>
      </c>
      <c r="E744" t="n">
        <v>8</v>
      </c>
      <c r="F744" t="n">
        <v>0</v>
      </c>
      <c r="G744">
        <f>IFERROR(INDEX('01_STAFF'!$F:$F,MATCH(B744,'01_STAFF'!$A:$A,0))*E744,0)</f>
        <v/>
      </c>
    </row>
    <row r="745">
      <c r="A745" t="inlineStr">
        <is>
          <t>2026-05-12</t>
        </is>
      </c>
      <c r="B745" t="inlineStr">
        <is>
          <t>S02</t>
        </is>
      </c>
      <c r="C745" t="inlineStr">
        <is>
          <t>poultry</t>
        </is>
      </c>
      <c r="D745" t="inlineStr">
        <is>
          <t>Feeding</t>
        </is>
      </c>
      <c r="E745" t="n">
        <v>8</v>
      </c>
      <c r="F745" t="n">
        <v>0</v>
      </c>
      <c r="G745">
        <f>IFERROR(INDEX('01_STAFF'!$F:$F,MATCH(B745,'01_STAFF'!$A:$A,0))*E745,0)</f>
        <v/>
      </c>
    </row>
    <row r="746">
      <c r="A746" t="inlineStr">
        <is>
          <t>2026-05-12</t>
        </is>
      </c>
      <c r="B746" t="inlineStr">
        <is>
          <t>S03</t>
        </is>
      </c>
      <c r="C746" t="inlineStr">
        <is>
          <t>crops</t>
        </is>
      </c>
      <c r="D746" t="inlineStr">
        <is>
          <t>Spraying</t>
        </is>
      </c>
      <c r="E746" t="n">
        <v>8</v>
      </c>
      <c r="F746" t="n">
        <v>0</v>
      </c>
      <c r="G746">
        <f>IFERROR(INDEX('01_STAFF'!$F:$F,MATCH(B746,'01_STAFF'!$A:$A,0))*E746,0)</f>
        <v/>
      </c>
    </row>
    <row r="747">
      <c r="A747" t="inlineStr">
        <is>
          <t>2026-05-12</t>
        </is>
      </c>
      <c r="B747" t="inlineStr">
        <is>
          <t>S04</t>
        </is>
      </c>
      <c r="C747" t="inlineStr">
        <is>
          <t>shared</t>
        </is>
      </c>
      <c r="D747" t="inlineStr">
        <is>
          <t>Weighing</t>
        </is>
      </c>
      <c r="E747" t="n">
        <v>5</v>
      </c>
      <c r="F747" t="n">
        <v>0</v>
      </c>
      <c r="G747">
        <f>IFERROR(INDEX('01_STAFF'!$F:$F,MATCH(B747,'01_STAFF'!$A:$A,0))*E747,0)</f>
        <v/>
      </c>
    </row>
    <row r="748">
      <c r="A748" t="inlineStr">
        <is>
          <t>2026-05-13</t>
        </is>
      </c>
      <c r="B748" t="inlineStr">
        <is>
          <t>S01</t>
        </is>
      </c>
      <c r="C748" t="inlineStr">
        <is>
          <t>piggery</t>
        </is>
      </c>
      <c r="D748" t="inlineStr">
        <is>
          <t>Cleaning</t>
        </is>
      </c>
      <c r="E748" t="n">
        <v>8</v>
      </c>
      <c r="F748" t="n">
        <v>0</v>
      </c>
      <c r="G748">
        <f>IFERROR(INDEX('01_STAFF'!$F:$F,MATCH(B748,'01_STAFF'!$A:$A,0))*E748,0)</f>
        <v/>
      </c>
    </row>
    <row r="749">
      <c r="A749" t="inlineStr">
        <is>
          <t>2026-05-13</t>
        </is>
      </c>
      <c r="B749" t="inlineStr">
        <is>
          <t>S02</t>
        </is>
      </c>
      <c r="C749" t="inlineStr">
        <is>
          <t>poultry</t>
        </is>
      </c>
      <c r="D749" t="inlineStr">
        <is>
          <t>Weighing</t>
        </is>
      </c>
      <c r="E749" t="n">
        <v>8</v>
      </c>
      <c r="F749" t="n">
        <v>0</v>
      </c>
      <c r="G749">
        <f>IFERROR(INDEX('01_STAFF'!$F:$F,MATCH(B749,'01_STAFF'!$A:$A,0))*E749,0)</f>
        <v/>
      </c>
    </row>
    <row r="750">
      <c r="A750" t="inlineStr">
        <is>
          <t>2026-05-13</t>
        </is>
      </c>
      <c r="B750" t="inlineStr">
        <is>
          <t>S03</t>
        </is>
      </c>
      <c r="C750" t="inlineStr">
        <is>
          <t>crops</t>
        </is>
      </c>
      <c r="D750" t="inlineStr">
        <is>
          <t>Weeding</t>
        </is>
      </c>
      <c r="E750" t="n">
        <v>8</v>
      </c>
      <c r="F750" t="n">
        <v>0</v>
      </c>
      <c r="G750">
        <f>IFERROR(INDEX('01_STAFF'!$F:$F,MATCH(B750,'01_STAFF'!$A:$A,0))*E750,0)</f>
        <v/>
      </c>
    </row>
    <row r="751">
      <c r="A751" t="inlineStr">
        <is>
          <t>2026-05-13</t>
        </is>
      </c>
      <c r="B751" t="inlineStr">
        <is>
          <t>S04</t>
        </is>
      </c>
      <c r="C751" t="inlineStr">
        <is>
          <t>shared</t>
        </is>
      </c>
      <c r="D751" t="inlineStr">
        <is>
          <t>Maintenance</t>
        </is>
      </c>
      <c r="E751" t="n">
        <v>7</v>
      </c>
      <c r="F751" t="n">
        <v>0</v>
      </c>
      <c r="G751">
        <f>IFERROR(INDEX('01_STAFF'!$F:$F,MATCH(B751,'01_STAFF'!$A:$A,0))*E751,0)</f>
        <v/>
      </c>
    </row>
    <row r="752">
      <c r="A752" t="inlineStr">
        <is>
          <t>2026-05-14</t>
        </is>
      </c>
      <c r="B752" t="inlineStr">
        <is>
          <t>S01</t>
        </is>
      </c>
      <c r="C752" t="inlineStr">
        <is>
          <t>piggery</t>
        </is>
      </c>
      <c r="D752" t="inlineStr">
        <is>
          <t>Cleaning</t>
        </is>
      </c>
      <c r="E752" t="n">
        <v>8</v>
      </c>
      <c r="F752" t="n">
        <v>0</v>
      </c>
      <c r="G752">
        <f>IFERROR(INDEX('01_STAFF'!$F:$F,MATCH(B752,'01_STAFF'!$A:$A,0))*E752,0)</f>
        <v/>
      </c>
    </row>
    <row r="753">
      <c r="A753" t="inlineStr">
        <is>
          <t>2026-05-14</t>
        </is>
      </c>
      <c r="B753" t="inlineStr">
        <is>
          <t>S02</t>
        </is>
      </c>
      <c r="C753" t="inlineStr">
        <is>
          <t>poultry</t>
        </is>
      </c>
      <c r="D753" t="inlineStr">
        <is>
          <t>Feeding</t>
        </is>
      </c>
      <c r="E753" t="n">
        <v>8</v>
      </c>
      <c r="F753" t="n">
        <v>0</v>
      </c>
      <c r="G753">
        <f>IFERROR(INDEX('01_STAFF'!$F:$F,MATCH(B753,'01_STAFF'!$A:$A,0))*E753,0)</f>
        <v/>
      </c>
    </row>
    <row r="754">
      <c r="A754" t="inlineStr">
        <is>
          <t>2026-05-15</t>
        </is>
      </c>
      <c r="B754" t="inlineStr">
        <is>
          <t>S01</t>
        </is>
      </c>
      <c r="C754" t="inlineStr">
        <is>
          <t>piggery</t>
        </is>
      </c>
      <c r="D754" t="inlineStr">
        <is>
          <t>Weighing</t>
        </is>
      </c>
      <c r="E754" t="n">
        <v>8</v>
      </c>
      <c r="F754" t="n">
        <v>0</v>
      </c>
      <c r="G754">
        <f>IFERROR(INDEX('01_STAFF'!$F:$F,MATCH(B754,'01_STAFF'!$A:$A,0))*E754,0)</f>
        <v/>
      </c>
    </row>
    <row r="755">
      <c r="A755" t="inlineStr">
        <is>
          <t>2026-05-15</t>
        </is>
      </c>
      <c r="B755" t="inlineStr">
        <is>
          <t>S02</t>
        </is>
      </c>
      <c r="C755" t="inlineStr">
        <is>
          <t>poultry</t>
        </is>
      </c>
      <c r="D755" t="inlineStr">
        <is>
          <t>Vaccination</t>
        </is>
      </c>
      <c r="E755" t="n">
        <v>8</v>
      </c>
      <c r="F755" t="n">
        <v>0</v>
      </c>
      <c r="G755">
        <f>IFERROR(INDEX('01_STAFF'!$F:$F,MATCH(B755,'01_STAFF'!$A:$A,0))*E755,0)</f>
        <v/>
      </c>
    </row>
    <row r="756">
      <c r="A756" t="inlineStr">
        <is>
          <t>2026-05-15</t>
        </is>
      </c>
      <c r="B756" t="inlineStr">
        <is>
          <t>S03</t>
        </is>
      </c>
      <c r="C756" t="inlineStr">
        <is>
          <t>crops</t>
        </is>
      </c>
      <c r="D756" t="inlineStr">
        <is>
          <t>Maintenance</t>
        </is>
      </c>
      <c r="E756" t="n">
        <v>8</v>
      </c>
      <c r="F756" t="n">
        <v>0</v>
      </c>
      <c r="G756">
        <f>IFERROR(INDEX('01_STAFF'!$F:$F,MATCH(B756,'01_STAFF'!$A:$A,0))*E756,0)</f>
        <v/>
      </c>
    </row>
    <row r="757">
      <c r="A757" t="inlineStr">
        <is>
          <t>2026-05-15</t>
        </is>
      </c>
      <c r="B757" t="inlineStr">
        <is>
          <t>S04</t>
        </is>
      </c>
      <c r="C757" t="inlineStr">
        <is>
          <t>shared</t>
        </is>
      </c>
      <c r="D757" t="inlineStr">
        <is>
          <t>Weighing</t>
        </is>
      </c>
      <c r="E757" t="n">
        <v>7</v>
      </c>
      <c r="F757" t="n">
        <v>0</v>
      </c>
      <c r="G757">
        <f>IFERROR(INDEX('01_STAFF'!$F:$F,MATCH(B757,'01_STAFF'!$A:$A,0))*E757,0)</f>
        <v/>
      </c>
    </row>
    <row r="758">
      <c r="A758" t="inlineStr">
        <is>
          <t>2026-05-16</t>
        </is>
      </c>
      <c r="B758" t="inlineStr">
        <is>
          <t>S01</t>
        </is>
      </c>
      <c r="C758" t="inlineStr">
        <is>
          <t>piggery</t>
        </is>
      </c>
      <c r="D758" t="inlineStr">
        <is>
          <t>Weighing</t>
        </is>
      </c>
      <c r="E758" t="n">
        <v>8</v>
      </c>
      <c r="F758" t="n">
        <v>1</v>
      </c>
      <c r="G758">
        <f>IFERROR(INDEX('01_STAFF'!$F:$F,MATCH(B758,'01_STAFF'!$A:$A,0))*E758,0)</f>
        <v/>
      </c>
    </row>
    <row r="759">
      <c r="A759" t="inlineStr">
        <is>
          <t>2026-05-16</t>
        </is>
      </c>
      <c r="B759" t="inlineStr">
        <is>
          <t>S02</t>
        </is>
      </c>
      <c r="C759" t="inlineStr">
        <is>
          <t>poultry</t>
        </is>
      </c>
      <c r="D759" t="inlineStr">
        <is>
          <t>Vaccination</t>
        </is>
      </c>
      <c r="E759" t="n">
        <v>8</v>
      </c>
      <c r="F759" t="n">
        <v>0</v>
      </c>
      <c r="G759">
        <f>IFERROR(INDEX('01_STAFF'!$F:$F,MATCH(B759,'01_STAFF'!$A:$A,0))*E759,0)</f>
        <v/>
      </c>
    </row>
    <row r="760">
      <c r="A760" t="inlineStr">
        <is>
          <t>2026-05-16</t>
        </is>
      </c>
      <c r="B760" t="inlineStr">
        <is>
          <t>S03</t>
        </is>
      </c>
      <c r="C760" t="inlineStr">
        <is>
          <t>crops</t>
        </is>
      </c>
      <c r="D760" t="inlineStr">
        <is>
          <t>Spraying</t>
        </is>
      </c>
      <c r="E760" t="n">
        <v>8</v>
      </c>
      <c r="F760" t="n">
        <v>0</v>
      </c>
      <c r="G760">
        <f>IFERROR(INDEX('01_STAFF'!$F:$F,MATCH(B760,'01_STAFF'!$A:$A,0))*E760,0)</f>
        <v/>
      </c>
    </row>
    <row r="761">
      <c r="A761" t="inlineStr">
        <is>
          <t>2026-05-16</t>
        </is>
      </c>
      <c r="B761" t="inlineStr">
        <is>
          <t>S04</t>
        </is>
      </c>
      <c r="C761" t="inlineStr">
        <is>
          <t>shared</t>
        </is>
      </c>
      <c r="D761" t="inlineStr">
        <is>
          <t>Weighing</t>
        </is>
      </c>
      <c r="E761" t="n">
        <v>7</v>
      </c>
      <c r="F761" t="n">
        <v>0</v>
      </c>
      <c r="G761">
        <f>IFERROR(INDEX('01_STAFF'!$F:$F,MATCH(B761,'01_STAFF'!$A:$A,0))*E761,0)</f>
        <v/>
      </c>
    </row>
    <row r="762">
      <c r="A762" t="inlineStr">
        <is>
          <t>2026-05-18</t>
        </is>
      </c>
      <c r="B762" t="inlineStr">
        <is>
          <t>S01</t>
        </is>
      </c>
      <c r="C762" t="inlineStr">
        <is>
          <t>piggery</t>
        </is>
      </c>
      <c r="D762" t="inlineStr">
        <is>
          <t>Weighing</t>
        </is>
      </c>
      <c r="E762" t="n">
        <v>8</v>
      </c>
      <c r="F762" t="n">
        <v>0</v>
      </c>
      <c r="G762">
        <f>IFERROR(INDEX('01_STAFF'!$F:$F,MATCH(B762,'01_STAFF'!$A:$A,0))*E762,0)</f>
        <v/>
      </c>
    </row>
    <row r="763">
      <c r="A763" t="inlineStr">
        <is>
          <t>2026-05-18</t>
        </is>
      </c>
      <c r="B763" t="inlineStr">
        <is>
          <t>S02</t>
        </is>
      </c>
      <c r="C763" t="inlineStr">
        <is>
          <t>poultry</t>
        </is>
      </c>
      <c r="D763" t="inlineStr">
        <is>
          <t>Feeding</t>
        </is>
      </c>
      <c r="E763" t="n">
        <v>8</v>
      </c>
      <c r="F763" t="n">
        <v>0</v>
      </c>
      <c r="G763">
        <f>IFERROR(INDEX('01_STAFF'!$F:$F,MATCH(B763,'01_STAFF'!$A:$A,0))*E763,0)</f>
        <v/>
      </c>
    </row>
    <row r="764">
      <c r="A764" t="inlineStr">
        <is>
          <t>2026-05-18</t>
        </is>
      </c>
      <c r="B764" t="inlineStr">
        <is>
          <t>S03</t>
        </is>
      </c>
      <c r="C764" t="inlineStr">
        <is>
          <t>crops</t>
        </is>
      </c>
      <c r="D764" t="inlineStr">
        <is>
          <t>Maintenance</t>
        </is>
      </c>
      <c r="E764" t="n">
        <v>8</v>
      </c>
      <c r="F764" t="n">
        <v>0</v>
      </c>
      <c r="G764">
        <f>IFERROR(INDEX('01_STAFF'!$F:$F,MATCH(B764,'01_STAFF'!$A:$A,0))*E764,0)</f>
        <v/>
      </c>
    </row>
    <row r="765">
      <c r="A765" t="inlineStr">
        <is>
          <t>2026-05-18</t>
        </is>
      </c>
      <c r="B765" t="inlineStr">
        <is>
          <t>S04</t>
        </is>
      </c>
      <c r="C765" t="inlineStr">
        <is>
          <t>shared</t>
        </is>
      </c>
      <c r="D765" t="inlineStr">
        <is>
          <t>Marketing</t>
        </is>
      </c>
      <c r="E765" t="n">
        <v>7</v>
      </c>
      <c r="F765" t="n">
        <v>0</v>
      </c>
      <c r="G765">
        <f>IFERROR(INDEX('01_STAFF'!$F:$F,MATCH(B765,'01_STAFF'!$A:$A,0))*E765,0)</f>
        <v/>
      </c>
    </row>
    <row r="766">
      <c r="A766" t="inlineStr">
        <is>
          <t>2026-05-19</t>
        </is>
      </c>
      <c r="B766" t="inlineStr">
        <is>
          <t>S02</t>
        </is>
      </c>
      <c r="C766" t="inlineStr">
        <is>
          <t>poultry</t>
        </is>
      </c>
      <c r="D766" t="inlineStr">
        <is>
          <t>Cleaning</t>
        </is>
      </c>
      <c r="E766" t="n">
        <v>8</v>
      </c>
      <c r="F766" t="n">
        <v>0</v>
      </c>
      <c r="G766">
        <f>IFERROR(INDEX('01_STAFF'!$F:$F,MATCH(B766,'01_STAFF'!$A:$A,0))*E766,0)</f>
        <v/>
      </c>
    </row>
    <row r="767">
      <c r="A767" t="inlineStr">
        <is>
          <t>2026-05-19</t>
        </is>
      </c>
      <c r="B767" t="inlineStr">
        <is>
          <t>S03</t>
        </is>
      </c>
      <c r="C767" t="inlineStr">
        <is>
          <t>crops</t>
        </is>
      </c>
      <c r="D767" t="inlineStr">
        <is>
          <t>Weeding</t>
        </is>
      </c>
      <c r="E767" t="n">
        <v>8</v>
      </c>
      <c r="F767" t="n">
        <v>0</v>
      </c>
      <c r="G767">
        <f>IFERROR(INDEX('01_STAFF'!$F:$F,MATCH(B767,'01_STAFF'!$A:$A,0))*E767,0)</f>
        <v/>
      </c>
    </row>
    <row r="768">
      <c r="A768" t="inlineStr">
        <is>
          <t>2026-05-19</t>
        </is>
      </c>
      <c r="B768" t="inlineStr">
        <is>
          <t>S04</t>
        </is>
      </c>
      <c r="C768" t="inlineStr">
        <is>
          <t>shared</t>
        </is>
      </c>
      <c r="D768" t="inlineStr">
        <is>
          <t>Weighing</t>
        </is>
      </c>
      <c r="E768" t="n">
        <v>5</v>
      </c>
      <c r="F768" t="n">
        <v>0</v>
      </c>
      <c r="G768">
        <f>IFERROR(INDEX('01_STAFF'!$F:$F,MATCH(B768,'01_STAFF'!$A:$A,0))*E768,0)</f>
        <v/>
      </c>
    </row>
    <row r="769">
      <c r="A769" t="inlineStr">
        <is>
          <t>2026-05-20</t>
        </is>
      </c>
      <c r="B769" t="inlineStr">
        <is>
          <t>S01</t>
        </is>
      </c>
      <c r="C769" t="inlineStr">
        <is>
          <t>piggery</t>
        </is>
      </c>
      <c r="D769" t="inlineStr">
        <is>
          <t>Feeding</t>
        </is>
      </c>
      <c r="E769" t="n">
        <v>8</v>
      </c>
      <c r="F769" t="n">
        <v>0</v>
      </c>
      <c r="G769">
        <f>IFERROR(INDEX('01_STAFF'!$F:$F,MATCH(B769,'01_STAFF'!$A:$A,0))*E769,0)</f>
        <v/>
      </c>
    </row>
    <row r="770">
      <c r="A770" t="inlineStr">
        <is>
          <t>2026-05-20</t>
        </is>
      </c>
      <c r="B770" t="inlineStr">
        <is>
          <t>S02</t>
        </is>
      </c>
      <c r="C770" t="inlineStr">
        <is>
          <t>poultry</t>
        </is>
      </c>
      <c r="D770" t="inlineStr">
        <is>
          <t>Weighing</t>
        </is>
      </c>
      <c r="E770" t="n">
        <v>8</v>
      </c>
      <c r="F770" t="n">
        <v>0</v>
      </c>
      <c r="G770">
        <f>IFERROR(INDEX('01_STAFF'!$F:$F,MATCH(B770,'01_STAFF'!$A:$A,0))*E770,0)</f>
        <v/>
      </c>
    </row>
    <row r="771">
      <c r="A771" t="inlineStr">
        <is>
          <t>2026-05-20</t>
        </is>
      </c>
      <c r="B771" t="inlineStr">
        <is>
          <t>S03</t>
        </is>
      </c>
      <c r="C771" t="inlineStr">
        <is>
          <t>crops</t>
        </is>
      </c>
      <c r="D771" t="inlineStr">
        <is>
          <t>Maintenance</t>
        </is>
      </c>
      <c r="E771" t="n">
        <v>8</v>
      </c>
      <c r="F771" t="n">
        <v>0</v>
      </c>
      <c r="G771">
        <f>IFERROR(INDEX('01_STAFF'!$F:$F,MATCH(B771,'01_STAFF'!$A:$A,0))*E771,0)</f>
        <v/>
      </c>
    </row>
    <row r="772">
      <c r="A772" t="inlineStr">
        <is>
          <t>2026-05-20</t>
        </is>
      </c>
      <c r="B772" t="inlineStr">
        <is>
          <t>S04</t>
        </is>
      </c>
      <c r="C772" t="inlineStr">
        <is>
          <t>shared</t>
        </is>
      </c>
      <c r="D772" t="inlineStr">
        <is>
          <t>Maintenance</t>
        </is>
      </c>
      <c r="E772" t="n">
        <v>7</v>
      </c>
      <c r="F772" t="n">
        <v>0</v>
      </c>
      <c r="G772">
        <f>IFERROR(INDEX('01_STAFF'!$F:$F,MATCH(B772,'01_STAFF'!$A:$A,0))*E772,0)</f>
        <v/>
      </c>
    </row>
    <row r="773">
      <c r="A773" t="inlineStr">
        <is>
          <t>2026-05-21</t>
        </is>
      </c>
      <c r="B773" t="inlineStr">
        <is>
          <t>S01</t>
        </is>
      </c>
      <c r="C773" t="inlineStr">
        <is>
          <t>piggery</t>
        </is>
      </c>
      <c r="D773" t="inlineStr">
        <is>
          <t>Cleaning</t>
        </is>
      </c>
      <c r="E773" t="n">
        <v>8</v>
      </c>
      <c r="F773" t="n">
        <v>0</v>
      </c>
      <c r="G773">
        <f>IFERROR(INDEX('01_STAFF'!$F:$F,MATCH(B773,'01_STAFF'!$A:$A,0))*E773,0)</f>
        <v/>
      </c>
    </row>
    <row r="774">
      <c r="A774" t="inlineStr">
        <is>
          <t>2026-05-21</t>
        </is>
      </c>
      <c r="B774" t="inlineStr">
        <is>
          <t>S02</t>
        </is>
      </c>
      <c r="C774" t="inlineStr">
        <is>
          <t>poultry</t>
        </is>
      </c>
      <c r="D774" t="inlineStr">
        <is>
          <t>Weighing</t>
        </is>
      </c>
      <c r="E774" t="n">
        <v>8</v>
      </c>
      <c r="F774" t="n">
        <v>0</v>
      </c>
      <c r="G774">
        <f>IFERROR(INDEX('01_STAFF'!$F:$F,MATCH(B774,'01_STAFF'!$A:$A,0))*E774,0)</f>
        <v/>
      </c>
    </row>
    <row r="775">
      <c r="A775" t="inlineStr">
        <is>
          <t>2026-05-21</t>
        </is>
      </c>
      <c r="B775" t="inlineStr">
        <is>
          <t>S03</t>
        </is>
      </c>
      <c r="C775" t="inlineStr">
        <is>
          <t>crops</t>
        </is>
      </c>
      <c r="D775" t="inlineStr">
        <is>
          <t>Land prep</t>
        </is>
      </c>
      <c r="E775" t="n">
        <v>8</v>
      </c>
      <c r="F775" t="n">
        <v>0</v>
      </c>
      <c r="G775">
        <f>IFERROR(INDEX('01_STAFF'!$F:$F,MATCH(B775,'01_STAFF'!$A:$A,0))*E775,0)</f>
        <v/>
      </c>
    </row>
    <row r="776">
      <c r="A776" t="inlineStr">
        <is>
          <t>2026-05-21</t>
        </is>
      </c>
      <c r="B776" t="inlineStr">
        <is>
          <t>S04</t>
        </is>
      </c>
      <c r="C776" t="inlineStr">
        <is>
          <t>shared</t>
        </is>
      </c>
      <c r="D776" t="inlineStr">
        <is>
          <t>Maintenance</t>
        </is>
      </c>
      <c r="E776" t="n">
        <v>7</v>
      </c>
      <c r="F776" t="n">
        <v>0</v>
      </c>
      <c r="G776">
        <f>IFERROR(INDEX('01_STAFF'!$F:$F,MATCH(B776,'01_STAFF'!$A:$A,0))*E776,0)</f>
        <v/>
      </c>
    </row>
    <row r="777">
      <c r="A777" t="inlineStr">
        <is>
          <t>2026-05-22</t>
        </is>
      </c>
      <c r="B777" t="inlineStr">
        <is>
          <t>S01</t>
        </is>
      </c>
      <c r="C777" t="inlineStr">
        <is>
          <t>piggery</t>
        </is>
      </c>
      <c r="D777" t="inlineStr">
        <is>
          <t>Cleaning</t>
        </is>
      </c>
      <c r="E777" t="n">
        <v>8</v>
      </c>
      <c r="F777" t="n">
        <v>0</v>
      </c>
      <c r="G777">
        <f>IFERROR(INDEX('01_STAFF'!$F:$F,MATCH(B777,'01_STAFF'!$A:$A,0))*E777,0)</f>
        <v/>
      </c>
    </row>
    <row r="778">
      <c r="A778" t="inlineStr">
        <is>
          <t>2026-05-22</t>
        </is>
      </c>
      <c r="B778" t="inlineStr">
        <is>
          <t>S02</t>
        </is>
      </c>
      <c r="C778" t="inlineStr">
        <is>
          <t>poultry</t>
        </is>
      </c>
      <c r="D778" t="inlineStr">
        <is>
          <t>Vaccination</t>
        </is>
      </c>
      <c r="E778" t="n">
        <v>8</v>
      </c>
      <c r="F778" t="n">
        <v>0</v>
      </c>
      <c r="G778">
        <f>IFERROR(INDEX('01_STAFF'!$F:$F,MATCH(B778,'01_STAFF'!$A:$A,0))*E778,0)</f>
        <v/>
      </c>
    </row>
    <row r="779">
      <c r="A779" t="inlineStr">
        <is>
          <t>2026-05-22</t>
        </is>
      </c>
      <c r="B779" t="inlineStr">
        <is>
          <t>S03</t>
        </is>
      </c>
      <c r="C779" t="inlineStr">
        <is>
          <t>crops</t>
        </is>
      </c>
      <c r="D779" t="inlineStr">
        <is>
          <t>Land prep</t>
        </is>
      </c>
      <c r="E779" t="n">
        <v>8</v>
      </c>
      <c r="F779" t="n">
        <v>0</v>
      </c>
      <c r="G779">
        <f>IFERROR(INDEX('01_STAFF'!$F:$F,MATCH(B779,'01_STAFF'!$A:$A,0))*E779,0)</f>
        <v/>
      </c>
    </row>
    <row r="780">
      <c r="A780" t="inlineStr">
        <is>
          <t>2026-05-22</t>
        </is>
      </c>
      <c r="B780" t="inlineStr">
        <is>
          <t>S04</t>
        </is>
      </c>
      <c r="C780" t="inlineStr">
        <is>
          <t>shared</t>
        </is>
      </c>
      <c r="D780" t="inlineStr">
        <is>
          <t>Marketing</t>
        </is>
      </c>
      <c r="E780" t="n">
        <v>6</v>
      </c>
      <c r="F780" t="n">
        <v>0</v>
      </c>
      <c r="G780">
        <f>IFERROR(INDEX('01_STAFF'!$F:$F,MATCH(B780,'01_STAFF'!$A:$A,0))*E780,0)</f>
        <v/>
      </c>
    </row>
    <row r="781">
      <c r="A781" t="inlineStr">
        <is>
          <t>2026-05-23</t>
        </is>
      </c>
      <c r="B781" t="inlineStr">
        <is>
          <t>S01</t>
        </is>
      </c>
      <c r="C781" t="inlineStr">
        <is>
          <t>piggery</t>
        </is>
      </c>
      <c r="D781" t="inlineStr">
        <is>
          <t>Feeding</t>
        </is>
      </c>
      <c r="E781" t="n">
        <v>8</v>
      </c>
      <c r="F781" t="n">
        <v>0</v>
      </c>
      <c r="G781">
        <f>IFERROR(INDEX('01_STAFF'!$F:$F,MATCH(B781,'01_STAFF'!$A:$A,0))*E781,0)</f>
        <v/>
      </c>
    </row>
    <row r="782">
      <c r="A782" t="inlineStr">
        <is>
          <t>2026-05-23</t>
        </is>
      </c>
      <c r="B782" t="inlineStr">
        <is>
          <t>S02</t>
        </is>
      </c>
      <c r="C782" t="inlineStr">
        <is>
          <t>poultry</t>
        </is>
      </c>
      <c r="D782" t="inlineStr">
        <is>
          <t>Vaccination</t>
        </is>
      </c>
      <c r="E782" t="n">
        <v>8</v>
      </c>
      <c r="F782" t="n">
        <v>1</v>
      </c>
      <c r="G782">
        <f>IFERROR(INDEX('01_STAFF'!$F:$F,MATCH(B782,'01_STAFF'!$A:$A,0))*E782,0)</f>
        <v/>
      </c>
    </row>
    <row r="783">
      <c r="A783" t="inlineStr">
        <is>
          <t>2026-05-23</t>
        </is>
      </c>
      <c r="B783" t="inlineStr">
        <is>
          <t>S04</t>
        </is>
      </c>
      <c r="C783" t="inlineStr">
        <is>
          <t>shared</t>
        </is>
      </c>
      <c r="D783" t="inlineStr">
        <is>
          <t>Maintenance</t>
        </is>
      </c>
      <c r="E783" t="n">
        <v>5</v>
      </c>
      <c r="F783" t="n">
        <v>0</v>
      </c>
      <c r="G783">
        <f>IFERROR(INDEX('01_STAFF'!$F:$F,MATCH(B783,'01_STAFF'!$A:$A,0))*E783,0)</f>
        <v/>
      </c>
    </row>
    <row r="784">
      <c r="A784" t="inlineStr">
        <is>
          <t>2026-05-25</t>
        </is>
      </c>
      <c r="B784" t="inlineStr">
        <is>
          <t>S01</t>
        </is>
      </c>
      <c r="C784" t="inlineStr">
        <is>
          <t>piggery</t>
        </is>
      </c>
      <c r="D784" t="inlineStr">
        <is>
          <t>Cleaning</t>
        </is>
      </c>
      <c r="E784" t="n">
        <v>8</v>
      </c>
      <c r="F784" t="n">
        <v>0</v>
      </c>
      <c r="G784">
        <f>IFERROR(INDEX('01_STAFF'!$F:$F,MATCH(B784,'01_STAFF'!$A:$A,0))*E784,0)</f>
        <v/>
      </c>
    </row>
    <row r="785">
      <c r="A785" t="inlineStr">
        <is>
          <t>2026-05-25</t>
        </is>
      </c>
      <c r="B785" t="inlineStr">
        <is>
          <t>S02</t>
        </is>
      </c>
      <c r="C785" t="inlineStr">
        <is>
          <t>poultry</t>
        </is>
      </c>
      <c r="D785" t="inlineStr">
        <is>
          <t>Feeding</t>
        </is>
      </c>
      <c r="E785" t="n">
        <v>8</v>
      </c>
      <c r="F785" t="n">
        <v>0</v>
      </c>
      <c r="G785">
        <f>IFERROR(INDEX('01_STAFF'!$F:$F,MATCH(B785,'01_STAFF'!$A:$A,0))*E785,0)</f>
        <v/>
      </c>
    </row>
    <row r="786">
      <c r="A786" t="inlineStr">
        <is>
          <t>2026-05-25</t>
        </is>
      </c>
      <c r="B786" t="inlineStr">
        <is>
          <t>S03</t>
        </is>
      </c>
      <c r="C786" t="inlineStr">
        <is>
          <t>crops</t>
        </is>
      </c>
      <c r="D786" t="inlineStr">
        <is>
          <t>Weeding</t>
        </is>
      </c>
      <c r="E786" t="n">
        <v>8</v>
      </c>
      <c r="F786" t="n">
        <v>0</v>
      </c>
      <c r="G786">
        <f>IFERROR(INDEX('01_STAFF'!$F:$F,MATCH(B786,'01_STAFF'!$A:$A,0))*E786,0)</f>
        <v/>
      </c>
    </row>
    <row r="787">
      <c r="A787" t="inlineStr">
        <is>
          <t>2026-05-25</t>
        </is>
      </c>
      <c r="B787" t="inlineStr">
        <is>
          <t>S04</t>
        </is>
      </c>
      <c r="C787" t="inlineStr">
        <is>
          <t>shared</t>
        </is>
      </c>
      <c r="D787" t="inlineStr">
        <is>
          <t>Marketing</t>
        </is>
      </c>
      <c r="E787" t="n">
        <v>6</v>
      </c>
      <c r="F787" t="n">
        <v>0</v>
      </c>
      <c r="G787">
        <f>IFERROR(INDEX('01_STAFF'!$F:$F,MATCH(B787,'01_STAFF'!$A:$A,0))*E787,0)</f>
        <v/>
      </c>
    </row>
    <row r="788">
      <c r="A788" t="inlineStr">
        <is>
          <t>2026-05-26</t>
        </is>
      </c>
      <c r="B788" t="inlineStr">
        <is>
          <t>S01</t>
        </is>
      </c>
      <c r="C788" t="inlineStr">
        <is>
          <t>piggery</t>
        </is>
      </c>
      <c r="D788" t="inlineStr">
        <is>
          <t>Vaccination</t>
        </is>
      </c>
      <c r="E788" t="n">
        <v>8</v>
      </c>
      <c r="F788" t="n">
        <v>1</v>
      </c>
      <c r="G788">
        <f>IFERROR(INDEX('01_STAFF'!$F:$F,MATCH(B788,'01_STAFF'!$A:$A,0))*E788,0)</f>
        <v/>
      </c>
    </row>
    <row r="789">
      <c r="A789" t="inlineStr">
        <is>
          <t>2026-05-26</t>
        </is>
      </c>
      <c r="B789" t="inlineStr">
        <is>
          <t>S02</t>
        </is>
      </c>
      <c r="C789" t="inlineStr">
        <is>
          <t>poultry</t>
        </is>
      </c>
      <c r="D789" t="inlineStr">
        <is>
          <t>Weighing</t>
        </is>
      </c>
      <c r="E789" t="n">
        <v>8</v>
      </c>
      <c r="F789" t="n">
        <v>0</v>
      </c>
      <c r="G789">
        <f>IFERROR(INDEX('01_STAFF'!$F:$F,MATCH(B789,'01_STAFF'!$A:$A,0))*E789,0)</f>
        <v/>
      </c>
    </row>
    <row r="790">
      <c r="A790" t="inlineStr">
        <is>
          <t>2026-05-26</t>
        </is>
      </c>
      <c r="B790" t="inlineStr">
        <is>
          <t>S03</t>
        </is>
      </c>
      <c r="C790" t="inlineStr">
        <is>
          <t>crops</t>
        </is>
      </c>
      <c r="D790" t="inlineStr">
        <is>
          <t>Land prep</t>
        </is>
      </c>
      <c r="E790" t="n">
        <v>8</v>
      </c>
      <c r="F790" t="n">
        <v>0</v>
      </c>
      <c r="G790">
        <f>IFERROR(INDEX('01_STAFF'!$F:$F,MATCH(B790,'01_STAFF'!$A:$A,0))*E790,0)</f>
        <v/>
      </c>
    </row>
    <row r="791">
      <c r="A791" t="inlineStr">
        <is>
          <t>2026-05-26</t>
        </is>
      </c>
      <c r="B791" t="inlineStr">
        <is>
          <t>S04</t>
        </is>
      </c>
      <c r="C791" t="inlineStr">
        <is>
          <t>shared</t>
        </is>
      </c>
      <c r="D791" t="inlineStr">
        <is>
          <t>Vaccination</t>
        </is>
      </c>
      <c r="E791" t="n">
        <v>7</v>
      </c>
      <c r="F791" t="n">
        <v>0</v>
      </c>
      <c r="G791">
        <f>IFERROR(INDEX('01_STAFF'!$F:$F,MATCH(B791,'01_STAFF'!$A:$A,0))*E791,0)</f>
        <v/>
      </c>
    </row>
    <row r="792">
      <c r="A792" t="inlineStr">
        <is>
          <t>2026-05-27</t>
        </is>
      </c>
      <c r="B792" t="inlineStr">
        <is>
          <t>S01</t>
        </is>
      </c>
      <c r="C792" t="inlineStr">
        <is>
          <t>piggery</t>
        </is>
      </c>
      <c r="D792" t="inlineStr">
        <is>
          <t>Cleaning</t>
        </is>
      </c>
      <c r="E792" t="n">
        <v>8</v>
      </c>
      <c r="F792" t="n">
        <v>0</v>
      </c>
      <c r="G792">
        <f>IFERROR(INDEX('01_STAFF'!$F:$F,MATCH(B792,'01_STAFF'!$A:$A,0))*E792,0)</f>
        <v/>
      </c>
    </row>
    <row r="793">
      <c r="A793" t="inlineStr">
        <is>
          <t>2026-05-27</t>
        </is>
      </c>
      <c r="B793" t="inlineStr">
        <is>
          <t>S02</t>
        </is>
      </c>
      <c r="C793" t="inlineStr">
        <is>
          <t>poultry</t>
        </is>
      </c>
      <c r="D793" t="inlineStr">
        <is>
          <t>Feeding</t>
        </is>
      </c>
      <c r="E793" t="n">
        <v>8</v>
      </c>
      <c r="F793" t="n">
        <v>0</v>
      </c>
      <c r="G793">
        <f>IFERROR(INDEX('01_STAFF'!$F:$F,MATCH(B793,'01_STAFF'!$A:$A,0))*E793,0)</f>
        <v/>
      </c>
    </row>
    <row r="794">
      <c r="A794" t="inlineStr">
        <is>
          <t>2026-05-27</t>
        </is>
      </c>
      <c r="B794" t="inlineStr">
        <is>
          <t>S03</t>
        </is>
      </c>
      <c r="C794" t="inlineStr">
        <is>
          <t>crops</t>
        </is>
      </c>
      <c r="D794" t="inlineStr">
        <is>
          <t>Land prep</t>
        </is>
      </c>
      <c r="E794" t="n">
        <v>8</v>
      </c>
      <c r="F794" t="n">
        <v>0</v>
      </c>
      <c r="G794">
        <f>IFERROR(INDEX('01_STAFF'!$F:$F,MATCH(B794,'01_STAFF'!$A:$A,0))*E794,0)</f>
        <v/>
      </c>
    </row>
    <row r="795">
      <c r="A795" t="inlineStr">
        <is>
          <t>2026-05-27</t>
        </is>
      </c>
      <c r="B795" t="inlineStr">
        <is>
          <t>S04</t>
        </is>
      </c>
      <c r="C795" t="inlineStr">
        <is>
          <t>shared</t>
        </is>
      </c>
      <c r="D795" t="inlineStr">
        <is>
          <t>Maintenance</t>
        </is>
      </c>
      <c r="E795" t="n">
        <v>7</v>
      </c>
      <c r="F795" t="n">
        <v>0</v>
      </c>
      <c r="G795">
        <f>IFERROR(INDEX('01_STAFF'!$F:$F,MATCH(B795,'01_STAFF'!$A:$A,0))*E795,0)</f>
        <v/>
      </c>
    </row>
    <row r="796">
      <c r="A796" t="inlineStr">
        <is>
          <t>2026-05-28</t>
        </is>
      </c>
      <c r="B796" t="inlineStr">
        <is>
          <t>S01</t>
        </is>
      </c>
      <c r="C796" t="inlineStr">
        <is>
          <t>piggery</t>
        </is>
      </c>
      <c r="D796" t="inlineStr">
        <is>
          <t>Vaccination</t>
        </is>
      </c>
      <c r="E796" t="n">
        <v>8</v>
      </c>
      <c r="F796" t="n">
        <v>0</v>
      </c>
      <c r="G796">
        <f>IFERROR(INDEX('01_STAFF'!$F:$F,MATCH(B796,'01_STAFF'!$A:$A,0))*E796,0)</f>
        <v/>
      </c>
    </row>
    <row r="797">
      <c r="A797" t="inlineStr">
        <is>
          <t>2026-05-28</t>
        </is>
      </c>
      <c r="B797" t="inlineStr">
        <is>
          <t>S02</t>
        </is>
      </c>
      <c r="C797" t="inlineStr">
        <is>
          <t>poultry</t>
        </is>
      </c>
      <c r="D797" t="inlineStr">
        <is>
          <t>Weighing</t>
        </is>
      </c>
      <c r="E797" t="n">
        <v>8</v>
      </c>
      <c r="F797" t="n">
        <v>0</v>
      </c>
      <c r="G797">
        <f>IFERROR(INDEX('01_STAFF'!$F:$F,MATCH(B797,'01_STAFF'!$A:$A,0))*E797,0)</f>
        <v/>
      </c>
    </row>
    <row r="798">
      <c r="A798" t="inlineStr">
        <is>
          <t>2026-05-28</t>
        </is>
      </c>
      <c r="B798" t="inlineStr">
        <is>
          <t>S03</t>
        </is>
      </c>
      <c r="C798" t="inlineStr">
        <is>
          <t>crops</t>
        </is>
      </c>
      <c r="D798" t="inlineStr">
        <is>
          <t>Spraying</t>
        </is>
      </c>
      <c r="E798" t="n">
        <v>8</v>
      </c>
      <c r="F798" t="n">
        <v>0</v>
      </c>
      <c r="G798">
        <f>IFERROR(INDEX('01_STAFF'!$F:$F,MATCH(B798,'01_STAFF'!$A:$A,0))*E798,0)</f>
        <v/>
      </c>
    </row>
    <row r="799">
      <c r="A799" t="inlineStr">
        <is>
          <t>2026-05-28</t>
        </is>
      </c>
      <c r="B799" t="inlineStr">
        <is>
          <t>S04</t>
        </is>
      </c>
      <c r="C799" t="inlineStr">
        <is>
          <t>shared</t>
        </is>
      </c>
      <c r="D799" t="inlineStr">
        <is>
          <t>Vaccination</t>
        </is>
      </c>
      <c r="E799" t="n">
        <v>5</v>
      </c>
      <c r="F799" t="n">
        <v>0</v>
      </c>
      <c r="G799">
        <f>IFERROR(INDEX('01_STAFF'!$F:$F,MATCH(B799,'01_STAFF'!$A:$A,0))*E799,0)</f>
        <v/>
      </c>
    </row>
    <row r="800">
      <c r="A800" t="inlineStr">
        <is>
          <t>2026-05-29</t>
        </is>
      </c>
      <c r="B800" t="inlineStr">
        <is>
          <t>S01</t>
        </is>
      </c>
      <c r="C800" t="inlineStr">
        <is>
          <t>piggery</t>
        </is>
      </c>
      <c r="D800" t="inlineStr">
        <is>
          <t>Vaccination</t>
        </is>
      </c>
      <c r="E800" t="n">
        <v>8</v>
      </c>
      <c r="F800" t="n">
        <v>0</v>
      </c>
      <c r="G800">
        <f>IFERROR(INDEX('01_STAFF'!$F:$F,MATCH(B800,'01_STAFF'!$A:$A,0))*E800,0)</f>
        <v/>
      </c>
    </row>
    <row r="801">
      <c r="A801" t="inlineStr">
        <is>
          <t>2026-05-29</t>
        </is>
      </c>
      <c r="B801" t="inlineStr">
        <is>
          <t>S02</t>
        </is>
      </c>
      <c r="C801" t="inlineStr">
        <is>
          <t>poultry</t>
        </is>
      </c>
      <c r="D801" t="inlineStr">
        <is>
          <t>Cleaning</t>
        </is>
      </c>
      <c r="E801" t="n">
        <v>8</v>
      </c>
      <c r="F801" t="n">
        <v>0</v>
      </c>
      <c r="G801">
        <f>IFERROR(INDEX('01_STAFF'!$F:$F,MATCH(B801,'01_STAFF'!$A:$A,0))*E801,0)</f>
        <v/>
      </c>
    </row>
    <row r="802">
      <c r="A802" t="inlineStr">
        <is>
          <t>2026-05-29</t>
        </is>
      </c>
      <c r="B802" t="inlineStr">
        <is>
          <t>S04</t>
        </is>
      </c>
      <c r="C802" t="inlineStr">
        <is>
          <t>shared</t>
        </is>
      </c>
      <c r="D802" t="inlineStr">
        <is>
          <t>Maintenance</t>
        </is>
      </c>
      <c r="E802" t="n">
        <v>6</v>
      </c>
      <c r="F802" t="n">
        <v>0</v>
      </c>
      <c r="G802">
        <f>IFERROR(INDEX('01_STAFF'!$F:$F,MATCH(B802,'01_STAFF'!$A:$A,0))*E802,0)</f>
        <v/>
      </c>
    </row>
    <row r="803">
      <c r="A803" t="inlineStr">
        <is>
          <t>2026-05-30</t>
        </is>
      </c>
      <c r="B803" t="inlineStr">
        <is>
          <t>S01</t>
        </is>
      </c>
      <c r="C803" t="inlineStr">
        <is>
          <t>piggery</t>
        </is>
      </c>
      <c r="D803" t="inlineStr">
        <is>
          <t>Vaccination</t>
        </is>
      </c>
      <c r="E803" t="n">
        <v>8</v>
      </c>
      <c r="F803" t="n">
        <v>0</v>
      </c>
      <c r="G803">
        <f>IFERROR(INDEX('01_STAFF'!$F:$F,MATCH(B803,'01_STAFF'!$A:$A,0))*E803,0)</f>
        <v/>
      </c>
    </row>
    <row r="804">
      <c r="A804" t="inlineStr">
        <is>
          <t>2026-05-30</t>
        </is>
      </c>
      <c r="B804" t="inlineStr">
        <is>
          <t>S02</t>
        </is>
      </c>
      <c r="C804" t="inlineStr">
        <is>
          <t>poultry</t>
        </is>
      </c>
      <c r="D804" t="inlineStr">
        <is>
          <t>Feeding</t>
        </is>
      </c>
      <c r="E804" t="n">
        <v>8</v>
      </c>
      <c r="F804" t="n">
        <v>0</v>
      </c>
      <c r="G804">
        <f>IFERROR(INDEX('01_STAFF'!$F:$F,MATCH(B804,'01_STAFF'!$A:$A,0))*E804,0)</f>
        <v/>
      </c>
    </row>
    <row r="805">
      <c r="A805" t="inlineStr">
        <is>
          <t>2026-05-30</t>
        </is>
      </c>
      <c r="B805" t="inlineStr">
        <is>
          <t>S03</t>
        </is>
      </c>
      <c r="C805" t="inlineStr">
        <is>
          <t>crops</t>
        </is>
      </c>
      <c r="D805" t="inlineStr">
        <is>
          <t>Harvest</t>
        </is>
      </c>
      <c r="E805" t="n">
        <v>8</v>
      </c>
      <c r="F805" t="n">
        <v>0</v>
      </c>
      <c r="G805">
        <f>IFERROR(INDEX('01_STAFF'!$F:$F,MATCH(B805,'01_STAFF'!$A:$A,0))*E805,0)</f>
        <v/>
      </c>
    </row>
    <row r="806">
      <c r="A806" t="inlineStr">
        <is>
          <t>2026-05-30</t>
        </is>
      </c>
      <c r="B806" t="inlineStr">
        <is>
          <t>S04</t>
        </is>
      </c>
      <c r="C806" t="inlineStr">
        <is>
          <t>shared</t>
        </is>
      </c>
      <c r="D806" t="inlineStr">
        <is>
          <t>Weighing</t>
        </is>
      </c>
      <c r="E806" t="n">
        <v>7</v>
      </c>
      <c r="F806" t="n">
        <v>0</v>
      </c>
      <c r="G806">
        <f>IFERROR(INDEX('01_STAFF'!$F:$F,MATCH(B806,'01_STAFF'!$A:$A,0))*E806,0)</f>
        <v/>
      </c>
    </row>
    <row r="807">
      <c r="A807" t="inlineStr">
        <is>
          <t>2026-06-01</t>
        </is>
      </c>
      <c r="B807" t="inlineStr">
        <is>
          <t>S01</t>
        </is>
      </c>
      <c r="C807" t="inlineStr">
        <is>
          <t>piggery</t>
        </is>
      </c>
      <c r="D807" t="inlineStr">
        <is>
          <t>Feeding</t>
        </is>
      </c>
      <c r="E807" t="n">
        <v>8</v>
      </c>
      <c r="F807" t="n">
        <v>0</v>
      </c>
      <c r="G807">
        <f>IFERROR(INDEX('01_STAFF'!$F:$F,MATCH(B807,'01_STAFF'!$A:$A,0))*E807,0)</f>
        <v/>
      </c>
    </row>
    <row r="808">
      <c r="A808" t="inlineStr">
        <is>
          <t>2026-06-01</t>
        </is>
      </c>
      <c r="B808" t="inlineStr">
        <is>
          <t>S02</t>
        </is>
      </c>
      <c r="C808" t="inlineStr">
        <is>
          <t>poultry</t>
        </is>
      </c>
      <c r="D808" t="inlineStr">
        <is>
          <t>Cleaning</t>
        </is>
      </c>
      <c r="E808" t="n">
        <v>8</v>
      </c>
      <c r="F808" t="n">
        <v>0</v>
      </c>
      <c r="G808">
        <f>IFERROR(INDEX('01_STAFF'!$F:$F,MATCH(B808,'01_STAFF'!$A:$A,0))*E808,0)</f>
        <v/>
      </c>
    </row>
    <row r="809">
      <c r="A809" t="inlineStr">
        <is>
          <t>2026-06-01</t>
        </is>
      </c>
      <c r="B809" t="inlineStr">
        <is>
          <t>S03</t>
        </is>
      </c>
      <c r="C809" t="inlineStr">
        <is>
          <t>crops</t>
        </is>
      </c>
      <c r="D809" t="inlineStr">
        <is>
          <t>Land prep</t>
        </is>
      </c>
      <c r="E809" t="n">
        <v>8</v>
      </c>
      <c r="F809" t="n">
        <v>0</v>
      </c>
      <c r="G809">
        <f>IFERROR(INDEX('01_STAFF'!$F:$F,MATCH(B809,'01_STAFF'!$A:$A,0))*E809,0)</f>
        <v/>
      </c>
    </row>
    <row r="810">
      <c r="A810" t="inlineStr">
        <is>
          <t>2026-06-01</t>
        </is>
      </c>
      <c r="B810" t="inlineStr">
        <is>
          <t>S04</t>
        </is>
      </c>
      <c r="C810" t="inlineStr">
        <is>
          <t>shared</t>
        </is>
      </c>
      <c r="D810" t="inlineStr">
        <is>
          <t>Vaccination</t>
        </is>
      </c>
      <c r="E810" t="n">
        <v>5</v>
      </c>
      <c r="F810" t="n">
        <v>0</v>
      </c>
      <c r="G810">
        <f>IFERROR(INDEX('01_STAFF'!$F:$F,MATCH(B810,'01_STAFF'!$A:$A,0))*E810,0)</f>
        <v/>
      </c>
    </row>
    <row r="811">
      <c r="A811" t="inlineStr">
        <is>
          <t>2026-06-02</t>
        </is>
      </c>
      <c r="B811" t="inlineStr">
        <is>
          <t>S01</t>
        </is>
      </c>
      <c r="C811" t="inlineStr">
        <is>
          <t>piggery</t>
        </is>
      </c>
      <c r="D811" t="inlineStr">
        <is>
          <t>Cleaning</t>
        </is>
      </c>
      <c r="E811" t="n">
        <v>8</v>
      </c>
      <c r="F811" t="n">
        <v>0</v>
      </c>
      <c r="G811">
        <f>IFERROR(INDEX('01_STAFF'!$F:$F,MATCH(B811,'01_STAFF'!$A:$A,0))*E811,0)</f>
        <v/>
      </c>
    </row>
    <row r="812">
      <c r="A812" t="inlineStr">
        <is>
          <t>2026-06-02</t>
        </is>
      </c>
      <c r="B812" t="inlineStr">
        <is>
          <t>S02</t>
        </is>
      </c>
      <c r="C812" t="inlineStr">
        <is>
          <t>poultry</t>
        </is>
      </c>
      <c r="D812" t="inlineStr">
        <is>
          <t>Weighing</t>
        </is>
      </c>
      <c r="E812" t="n">
        <v>8</v>
      </c>
      <c r="F812" t="n">
        <v>1</v>
      </c>
      <c r="G812">
        <f>IFERROR(INDEX('01_STAFF'!$F:$F,MATCH(B812,'01_STAFF'!$A:$A,0))*E812,0)</f>
        <v/>
      </c>
    </row>
    <row r="813">
      <c r="A813" t="inlineStr">
        <is>
          <t>2026-06-02</t>
        </is>
      </c>
      <c r="B813" t="inlineStr">
        <is>
          <t>S03</t>
        </is>
      </c>
      <c r="C813" t="inlineStr">
        <is>
          <t>crops</t>
        </is>
      </c>
      <c r="D813" t="inlineStr">
        <is>
          <t>Maintenance</t>
        </is>
      </c>
      <c r="E813" t="n">
        <v>8</v>
      </c>
      <c r="F813" t="n">
        <v>0</v>
      </c>
      <c r="G813">
        <f>IFERROR(INDEX('01_STAFF'!$F:$F,MATCH(B813,'01_STAFF'!$A:$A,0))*E813,0)</f>
        <v/>
      </c>
    </row>
    <row r="814">
      <c r="A814" t="inlineStr">
        <is>
          <t>2026-06-02</t>
        </is>
      </c>
      <c r="B814" t="inlineStr">
        <is>
          <t>S04</t>
        </is>
      </c>
      <c r="C814" t="inlineStr">
        <is>
          <t>shared</t>
        </is>
      </c>
      <c r="D814" t="inlineStr">
        <is>
          <t>Weighing</t>
        </is>
      </c>
      <c r="E814" t="n">
        <v>5</v>
      </c>
      <c r="F814" t="n">
        <v>0</v>
      </c>
      <c r="G814">
        <f>IFERROR(INDEX('01_STAFF'!$F:$F,MATCH(B814,'01_STAFF'!$A:$A,0))*E814,0)</f>
        <v/>
      </c>
    </row>
    <row r="815">
      <c r="A815" t="inlineStr">
        <is>
          <t>2026-06-03</t>
        </is>
      </c>
      <c r="B815" t="inlineStr">
        <is>
          <t>S01</t>
        </is>
      </c>
      <c r="C815" t="inlineStr">
        <is>
          <t>piggery</t>
        </is>
      </c>
      <c r="D815" t="inlineStr">
        <is>
          <t>Cleaning</t>
        </is>
      </c>
      <c r="E815" t="n">
        <v>8</v>
      </c>
      <c r="F815" t="n">
        <v>0</v>
      </c>
      <c r="G815">
        <f>IFERROR(INDEX('01_STAFF'!$F:$F,MATCH(B815,'01_STAFF'!$A:$A,0))*E815,0)</f>
        <v/>
      </c>
    </row>
    <row r="816">
      <c r="A816" t="inlineStr">
        <is>
          <t>2026-06-03</t>
        </is>
      </c>
      <c r="B816" t="inlineStr">
        <is>
          <t>S02</t>
        </is>
      </c>
      <c r="C816" t="inlineStr">
        <is>
          <t>poultry</t>
        </is>
      </c>
      <c r="D816" t="inlineStr">
        <is>
          <t>Cleaning</t>
        </is>
      </c>
      <c r="E816" t="n">
        <v>8</v>
      </c>
      <c r="F816" t="n">
        <v>1</v>
      </c>
      <c r="G816">
        <f>IFERROR(INDEX('01_STAFF'!$F:$F,MATCH(B816,'01_STAFF'!$A:$A,0))*E816,0)</f>
        <v/>
      </c>
    </row>
    <row r="817">
      <c r="A817" t="inlineStr">
        <is>
          <t>2026-06-03</t>
        </is>
      </c>
      <c r="B817" t="inlineStr">
        <is>
          <t>S03</t>
        </is>
      </c>
      <c r="C817" t="inlineStr">
        <is>
          <t>crops</t>
        </is>
      </c>
      <c r="D817" t="inlineStr">
        <is>
          <t>Land prep</t>
        </is>
      </c>
      <c r="E817" t="n">
        <v>8</v>
      </c>
      <c r="F817" t="n">
        <v>0</v>
      </c>
      <c r="G817">
        <f>IFERROR(INDEX('01_STAFF'!$F:$F,MATCH(B817,'01_STAFF'!$A:$A,0))*E817,0)</f>
        <v/>
      </c>
    </row>
    <row r="818">
      <c r="A818" t="inlineStr">
        <is>
          <t>2026-06-03</t>
        </is>
      </c>
      <c r="B818" t="inlineStr">
        <is>
          <t>S04</t>
        </is>
      </c>
      <c r="C818" t="inlineStr">
        <is>
          <t>shared</t>
        </is>
      </c>
      <c r="D818" t="inlineStr">
        <is>
          <t>Marketing</t>
        </is>
      </c>
      <c r="E818" t="n">
        <v>7</v>
      </c>
      <c r="F818" t="n">
        <v>0</v>
      </c>
      <c r="G818">
        <f>IFERROR(INDEX('01_STAFF'!$F:$F,MATCH(B818,'01_STAFF'!$A:$A,0))*E818,0)</f>
        <v/>
      </c>
    </row>
    <row r="819">
      <c r="A819" t="inlineStr">
        <is>
          <t>2026-06-04</t>
        </is>
      </c>
      <c r="B819" t="inlineStr">
        <is>
          <t>S01</t>
        </is>
      </c>
      <c r="C819" t="inlineStr">
        <is>
          <t>piggery</t>
        </is>
      </c>
      <c r="D819" t="inlineStr">
        <is>
          <t>Feeding</t>
        </is>
      </c>
      <c r="E819" t="n">
        <v>8</v>
      </c>
      <c r="F819" t="n">
        <v>0</v>
      </c>
      <c r="G819">
        <f>IFERROR(INDEX('01_STAFF'!$F:$F,MATCH(B819,'01_STAFF'!$A:$A,0))*E819,0)</f>
        <v/>
      </c>
    </row>
    <row r="820">
      <c r="A820" t="inlineStr">
        <is>
          <t>2026-06-04</t>
        </is>
      </c>
      <c r="B820" t="inlineStr">
        <is>
          <t>S02</t>
        </is>
      </c>
      <c r="C820" t="inlineStr">
        <is>
          <t>poultry</t>
        </is>
      </c>
      <c r="D820" t="inlineStr">
        <is>
          <t>Weighing</t>
        </is>
      </c>
      <c r="E820" t="n">
        <v>8</v>
      </c>
      <c r="F820" t="n">
        <v>0</v>
      </c>
      <c r="G820">
        <f>IFERROR(INDEX('01_STAFF'!$F:$F,MATCH(B820,'01_STAFF'!$A:$A,0))*E820,0)</f>
        <v/>
      </c>
    </row>
    <row r="821">
      <c r="A821" t="inlineStr">
        <is>
          <t>2026-06-04</t>
        </is>
      </c>
      <c r="B821" t="inlineStr">
        <is>
          <t>S03</t>
        </is>
      </c>
      <c r="C821" t="inlineStr">
        <is>
          <t>crops</t>
        </is>
      </c>
      <c r="D821" t="inlineStr">
        <is>
          <t>Land prep</t>
        </is>
      </c>
      <c r="E821" t="n">
        <v>8</v>
      </c>
      <c r="F821" t="n">
        <v>0</v>
      </c>
      <c r="G821">
        <f>IFERROR(INDEX('01_STAFF'!$F:$F,MATCH(B821,'01_STAFF'!$A:$A,0))*E821,0)</f>
        <v/>
      </c>
    </row>
    <row r="822">
      <c r="A822" t="inlineStr">
        <is>
          <t>2026-06-04</t>
        </is>
      </c>
      <c r="B822" t="inlineStr">
        <is>
          <t>S04</t>
        </is>
      </c>
      <c r="C822" t="inlineStr">
        <is>
          <t>shared</t>
        </is>
      </c>
      <c r="D822" t="inlineStr">
        <is>
          <t>Maintenance</t>
        </is>
      </c>
      <c r="E822" t="n">
        <v>7</v>
      </c>
      <c r="F822" t="n">
        <v>0</v>
      </c>
      <c r="G822">
        <f>IFERROR(INDEX('01_STAFF'!$F:$F,MATCH(B822,'01_STAFF'!$A:$A,0))*E822,0)</f>
        <v/>
      </c>
    </row>
    <row r="823">
      <c r="A823" t="inlineStr">
        <is>
          <t>2026-06-05</t>
        </is>
      </c>
      <c r="B823" t="inlineStr">
        <is>
          <t>S01</t>
        </is>
      </c>
      <c r="C823" t="inlineStr">
        <is>
          <t>piggery</t>
        </is>
      </c>
      <c r="D823" t="inlineStr">
        <is>
          <t>Vaccination</t>
        </is>
      </c>
      <c r="E823" t="n">
        <v>8</v>
      </c>
      <c r="F823" t="n">
        <v>0</v>
      </c>
      <c r="G823">
        <f>IFERROR(INDEX('01_STAFF'!$F:$F,MATCH(B823,'01_STAFF'!$A:$A,0))*E823,0)</f>
        <v/>
      </c>
    </row>
    <row r="824">
      <c r="A824" t="inlineStr">
        <is>
          <t>2026-06-05</t>
        </is>
      </c>
      <c r="B824" t="inlineStr">
        <is>
          <t>S02</t>
        </is>
      </c>
      <c r="C824" t="inlineStr">
        <is>
          <t>poultry</t>
        </is>
      </c>
      <c r="D824" t="inlineStr">
        <is>
          <t>Vaccination</t>
        </is>
      </c>
      <c r="E824" t="n">
        <v>8</v>
      </c>
      <c r="F824" t="n">
        <v>0</v>
      </c>
      <c r="G824">
        <f>IFERROR(INDEX('01_STAFF'!$F:$F,MATCH(B824,'01_STAFF'!$A:$A,0))*E824,0)</f>
        <v/>
      </c>
    </row>
    <row r="825">
      <c r="A825" t="inlineStr">
        <is>
          <t>2026-06-05</t>
        </is>
      </c>
      <c r="B825" t="inlineStr">
        <is>
          <t>S03</t>
        </is>
      </c>
      <c r="C825" t="inlineStr">
        <is>
          <t>crops</t>
        </is>
      </c>
      <c r="D825" t="inlineStr">
        <is>
          <t>Land prep</t>
        </is>
      </c>
      <c r="E825" t="n">
        <v>8</v>
      </c>
      <c r="F825" t="n">
        <v>0</v>
      </c>
      <c r="G825">
        <f>IFERROR(INDEX('01_STAFF'!$F:$F,MATCH(B825,'01_STAFF'!$A:$A,0))*E825,0)</f>
        <v/>
      </c>
    </row>
    <row r="826">
      <c r="A826" t="inlineStr">
        <is>
          <t>2026-06-05</t>
        </is>
      </c>
      <c r="B826" t="inlineStr">
        <is>
          <t>S04</t>
        </is>
      </c>
      <c r="C826" t="inlineStr">
        <is>
          <t>shared</t>
        </is>
      </c>
      <c r="D826" t="inlineStr">
        <is>
          <t>Vaccination</t>
        </is>
      </c>
      <c r="E826" t="n">
        <v>7</v>
      </c>
      <c r="F826" t="n">
        <v>0</v>
      </c>
      <c r="G826">
        <f>IFERROR(INDEX('01_STAFF'!$F:$F,MATCH(B826,'01_STAFF'!$A:$A,0))*E826,0)</f>
        <v/>
      </c>
    </row>
    <row r="827">
      <c r="A827" t="inlineStr">
        <is>
          <t>2026-06-06</t>
        </is>
      </c>
      <c r="B827" t="inlineStr">
        <is>
          <t>S01</t>
        </is>
      </c>
      <c r="C827" t="inlineStr">
        <is>
          <t>piggery</t>
        </is>
      </c>
      <c r="D827" t="inlineStr">
        <is>
          <t>Vaccination</t>
        </is>
      </c>
      <c r="E827" t="n">
        <v>8</v>
      </c>
      <c r="F827" t="n">
        <v>0</v>
      </c>
      <c r="G827">
        <f>IFERROR(INDEX('01_STAFF'!$F:$F,MATCH(B827,'01_STAFF'!$A:$A,0))*E827,0)</f>
        <v/>
      </c>
    </row>
    <row r="828">
      <c r="A828" t="inlineStr">
        <is>
          <t>2026-06-06</t>
        </is>
      </c>
      <c r="B828" t="inlineStr">
        <is>
          <t>S02</t>
        </is>
      </c>
      <c r="C828" t="inlineStr">
        <is>
          <t>poultry</t>
        </is>
      </c>
      <c r="D828" t="inlineStr">
        <is>
          <t>Feeding</t>
        </is>
      </c>
      <c r="E828" t="n">
        <v>8</v>
      </c>
      <c r="F828" t="n">
        <v>0</v>
      </c>
      <c r="G828">
        <f>IFERROR(INDEX('01_STAFF'!$F:$F,MATCH(B828,'01_STAFF'!$A:$A,0))*E828,0)</f>
        <v/>
      </c>
    </row>
    <row r="829">
      <c r="A829" t="inlineStr">
        <is>
          <t>2026-06-06</t>
        </is>
      </c>
      <c r="B829" t="inlineStr">
        <is>
          <t>S03</t>
        </is>
      </c>
      <c r="C829" t="inlineStr">
        <is>
          <t>crops</t>
        </is>
      </c>
      <c r="D829" t="inlineStr">
        <is>
          <t>Harvest</t>
        </is>
      </c>
      <c r="E829" t="n">
        <v>8</v>
      </c>
      <c r="F829" t="n">
        <v>0</v>
      </c>
      <c r="G829">
        <f>IFERROR(INDEX('01_STAFF'!$F:$F,MATCH(B829,'01_STAFF'!$A:$A,0))*E829,0)</f>
        <v/>
      </c>
    </row>
    <row r="830">
      <c r="A830" t="inlineStr">
        <is>
          <t>2026-06-06</t>
        </is>
      </c>
      <c r="B830" t="inlineStr">
        <is>
          <t>S04</t>
        </is>
      </c>
      <c r="C830" t="inlineStr">
        <is>
          <t>shared</t>
        </is>
      </c>
      <c r="D830" t="inlineStr">
        <is>
          <t>Marketing</t>
        </is>
      </c>
      <c r="E830" t="n">
        <v>5</v>
      </c>
      <c r="F830" t="n">
        <v>0</v>
      </c>
      <c r="G830">
        <f>IFERROR(INDEX('01_STAFF'!$F:$F,MATCH(B830,'01_STAFF'!$A:$A,0))*E830,0)</f>
        <v/>
      </c>
    </row>
    <row r="831">
      <c r="A831" t="inlineStr">
        <is>
          <t>2026-06-08</t>
        </is>
      </c>
      <c r="B831" t="inlineStr">
        <is>
          <t>S01</t>
        </is>
      </c>
      <c r="C831" t="inlineStr">
        <is>
          <t>piggery</t>
        </is>
      </c>
      <c r="D831" t="inlineStr">
        <is>
          <t>Vaccination</t>
        </is>
      </c>
      <c r="E831" t="n">
        <v>8</v>
      </c>
      <c r="F831" t="n">
        <v>0</v>
      </c>
      <c r="G831">
        <f>IFERROR(INDEX('01_STAFF'!$F:$F,MATCH(B831,'01_STAFF'!$A:$A,0))*E831,0)</f>
        <v/>
      </c>
    </row>
    <row r="832">
      <c r="A832" t="inlineStr">
        <is>
          <t>2026-06-08</t>
        </is>
      </c>
      <c r="B832" t="inlineStr">
        <is>
          <t>S03</t>
        </is>
      </c>
      <c r="C832" t="inlineStr">
        <is>
          <t>crops</t>
        </is>
      </c>
      <c r="D832" t="inlineStr">
        <is>
          <t>Spraying</t>
        </is>
      </c>
      <c r="E832" t="n">
        <v>8</v>
      </c>
      <c r="F832" t="n">
        <v>0</v>
      </c>
      <c r="G832">
        <f>IFERROR(INDEX('01_STAFF'!$F:$F,MATCH(B832,'01_STAFF'!$A:$A,0))*E832,0)</f>
        <v/>
      </c>
    </row>
    <row r="833">
      <c r="A833" t="inlineStr">
        <is>
          <t>2026-06-08</t>
        </is>
      </c>
      <c r="B833" t="inlineStr">
        <is>
          <t>S04</t>
        </is>
      </c>
      <c r="C833" t="inlineStr">
        <is>
          <t>shared</t>
        </is>
      </c>
      <c r="D833" t="inlineStr">
        <is>
          <t>Weighing</t>
        </is>
      </c>
      <c r="E833" t="n">
        <v>5</v>
      </c>
      <c r="F833" t="n">
        <v>0</v>
      </c>
      <c r="G833">
        <f>IFERROR(INDEX('01_STAFF'!$F:$F,MATCH(B833,'01_STAFF'!$A:$A,0))*E833,0)</f>
        <v/>
      </c>
    </row>
    <row r="834">
      <c r="A834" t="inlineStr">
        <is>
          <t>2026-06-09</t>
        </is>
      </c>
      <c r="B834" t="inlineStr">
        <is>
          <t>S02</t>
        </is>
      </c>
      <c r="C834" t="inlineStr">
        <is>
          <t>poultry</t>
        </is>
      </c>
      <c r="D834" t="inlineStr">
        <is>
          <t>Cleaning</t>
        </is>
      </c>
      <c r="E834" t="n">
        <v>8</v>
      </c>
      <c r="F834" t="n">
        <v>0</v>
      </c>
      <c r="G834">
        <f>IFERROR(INDEX('01_STAFF'!$F:$F,MATCH(B834,'01_STAFF'!$A:$A,0))*E834,0)</f>
        <v/>
      </c>
    </row>
    <row r="835">
      <c r="A835" t="inlineStr">
        <is>
          <t>2026-06-09</t>
        </is>
      </c>
      <c r="B835" t="inlineStr">
        <is>
          <t>S03</t>
        </is>
      </c>
      <c r="C835" t="inlineStr">
        <is>
          <t>crops</t>
        </is>
      </c>
      <c r="D835" t="inlineStr">
        <is>
          <t>Maintenance</t>
        </is>
      </c>
      <c r="E835" t="n">
        <v>8</v>
      </c>
      <c r="F835" t="n">
        <v>0</v>
      </c>
      <c r="G835">
        <f>IFERROR(INDEX('01_STAFF'!$F:$F,MATCH(B835,'01_STAFF'!$A:$A,0))*E835,0)</f>
        <v/>
      </c>
    </row>
    <row r="836">
      <c r="A836" t="inlineStr">
        <is>
          <t>2026-06-09</t>
        </is>
      </c>
      <c r="B836" t="inlineStr">
        <is>
          <t>S04</t>
        </is>
      </c>
      <c r="C836" t="inlineStr">
        <is>
          <t>shared</t>
        </is>
      </c>
      <c r="D836" t="inlineStr">
        <is>
          <t>Weighing</t>
        </is>
      </c>
      <c r="E836" t="n">
        <v>6</v>
      </c>
      <c r="F836" t="n">
        <v>1</v>
      </c>
      <c r="G836">
        <f>IFERROR(INDEX('01_STAFF'!$F:$F,MATCH(B836,'01_STAFF'!$A:$A,0))*E836,0)</f>
        <v/>
      </c>
    </row>
    <row r="837">
      <c r="A837" t="inlineStr">
        <is>
          <t>2026-06-10</t>
        </is>
      </c>
      <c r="B837" t="inlineStr">
        <is>
          <t>S03</t>
        </is>
      </c>
      <c r="C837" t="inlineStr">
        <is>
          <t>crops</t>
        </is>
      </c>
      <c r="D837" t="inlineStr">
        <is>
          <t>Land prep</t>
        </is>
      </c>
      <c r="E837" t="n">
        <v>8</v>
      </c>
      <c r="F837" t="n">
        <v>0</v>
      </c>
      <c r="G837">
        <f>IFERROR(INDEX('01_STAFF'!$F:$F,MATCH(B837,'01_STAFF'!$A:$A,0))*E837,0)</f>
        <v/>
      </c>
    </row>
    <row r="838">
      <c r="A838" t="inlineStr">
        <is>
          <t>2026-06-11</t>
        </is>
      </c>
      <c r="B838" t="inlineStr">
        <is>
          <t>S01</t>
        </is>
      </c>
      <c r="C838" t="inlineStr">
        <is>
          <t>piggery</t>
        </is>
      </c>
      <c r="D838" t="inlineStr">
        <is>
          <t>Feeding</t>
        </is>
      </c>
      <c r="E838" t="n">
        <v>8</v>
      </c>
      <c r="F838" t="n">
        <v>0</v>
      </c>
      <c r="G838">
        <f>IFERROR(INDEX('01_STAFF'!$F:$F,MATCH(B838,'01_STAFF'!$A:$A,0))*E838,0)</f>
        <v/>
      </c>
    </row>
    <row r="839">
      <c r="A839" t="inlineStr">
        <is>
          <t>2026-06-11</t>
        </is>
      </c>
      <c r="B839" t="inlineStr">
        <is>
          <t>S02</t>
        </is>
      </c>
      <c r="C839" t="inlineStr">
        <is>
          <t>poultry</t>
        </is>
      </c>
      <c r="D839" t="inlineStr">
        <is>
          <t>Feeding</t>
        </is>
      </c>
      <c r="E839" t="n">
        <v>8</v>
      </c>
      <c r="F839" t="n">
        <v>0</v>
      </c>
      <c r="G839">
        <f>IFERROR(INDEX('01_STAFF'!$F:$F,MATCH(B839,'01_STAFF'!$A:$A,0))*E839,0)</f>
        <v/>
      </c>
    </row>
    <row r="840">
      <c r="A840" t="inlineStr">
        <is>
          <t>2026-06-12</t>
        </is>
      </c>
      <c r="B840" t="inlineStr">
        <is>
          <t>S01</t>
        </is>
      </c>
      <c r="C840" t="inlineStr">
        <is>
          <t>piggery</t>
        </is>
      </c>
      <c r="D840" t="inlineStr">
        <is>
          <t>Vaccination</t>
        </is>
      </c>
      <c r="E840" t="n">
        <v>8</v>
      </c>
      <c r="F840" t="n">
        <v>1</v>
      </c>
      <c r="G840">
        <f>IFERROR(INDEX('01_STAFF'!$F:$F,MATCH(B840,'01_STAFF'!$A:$A,0))*E840,0)</f>
        <v/>
      </c>
    </row>
    <row r="841">
      <c r="A841" t="inlineStr">
        <is>
          <t>2026-06-12</t>
        </is>
      </c>
      <c r="B841" t="inlineStr">
        <is>
          <t>S02</t>
        </is>
      </c>
      <c r="C841" t="inlineStr">
        <is>
          <t>poultry</t>
        </is>
      </c>
      <c r="D841" t="inlineStr">
        <is>
          <t>Cleaning</t>
        </is>
      </c>
      <c r="E841" t="n">
        <v>8</v>
      </c>
      <c r="F841" t="n">
        <v>0</v>
      </c>
      <c r="G841">
        <f>IFERROR(INDEX('01_STAFF'!$F:$F,MATCH(B841,'01_STAFF'!$A:$A,0))*E841,0)</f>
        <v/>
      </c>
    </row>
    <row r="842">
      <c r="A842" t="inlineStr">
        <is>
          <t>2026-06-12</t>
        </is>
      </c>
      <c r="B842" t="inlineStr">
        <is>
          <t>S03</t>
        </is>
      </c>
      <c r="C842" t="inlineStr">
        <is>
          <t>crops</t>
        </is>
      </c>
      <c r="D842" t="inlineStr">
        <is>
          <t>Maintenance</t>
        </is>
      </c>
      <c r="E842" t="n">
        <v>8</v>
      </c>
      <c r="F842" t="n">
        <v>1</v>
      </c>
      <c r="G842">
        <f>IFERROR(INDEX('01_STAFF'!$F:$F,MATCH(B842,'01_STAFF'!$A:$A,0))*E842,0)</f>
        <v/>
      </c>
    </row>
    <row r="843">
      <c r="A843" t="inlineStr">
        <is>
          <t>2026-06-12</t>
        </is>
      </c>
      <c r="B843" t="inlineStr">
        <is>
          <t>S04</t>
        </is>
      </c>
      <c r="C843" t="inlineStr">
        <is>
          <t>shared</t>
        </is>
      </c>
      <c r="D843" t="inlineStr">
        <is>
          <t>Weighing</t>
        </is>
      </c>
      <c r="E843" t="n">
        <v>7</v>
      </c>
      <c r="F843" t="n">
        <v>0</v>
      </c>
      <c r="G843">
        <f>IFERROR(INDEX('01_STAFF'!$F:$F,MATCH(B843,'01_STAFF'!$A:$A,0))*E843,0)</f>
        <v/>
      </c>
    </row>
    <row r="844">
      <c r="A844" t="inlineStr">
        <is>
          <t>2026-06-13</t>
        </is>
      </c>
      <c r="B844" t="inlineStr">
        <is>
          <t>S01</t>
        </is>
      </c>
      <c r="C844" t="inlineStr">
        <is>
          <t>piggery</t>
        </is>
      </c>
      <c r="D844" t="inlineStr">
        <is>
          <t>Feeding</t>
        </is>
      </c>
      <c r="E844" t="n">
        <v>8</v>
      </c>
      <c r="F844" t="n">
        <v>0</v>
      </c>
      <c r="G844">
        <f>IFERROR(INDEX('01_STAFF'!$F:$F,MATCH(B844,'01_STAFF'!$A:$A,0))*E844,0)</f>
        <v/>
      </c>
    </row>
    <row r="845">
      <c r="A845" t="inlineStr">
        <is>
          <t>2026-06-13</t>
        </is>
      </c>
      <c r="B845" t="inlineStr">
        <is>
          <t>S02</t>
        </is>
      </c>
      <c r="C845" t="inlineStr">
        <is>
          <t>poultry</t>
        </is>
      </c>
      <c r="D845" t="inlineStr">
        <is>
          <t>Cleaning</t>
        </is>
      </c>
      <c r="E845" t="n">
        <v>8</v>
      </c>
      <c r="F845" t="n">
        <v>0</v>
      </c>
      <c r="G845">
        <f>IFERROR(INDEX('01_STAFF'!$F:$F,MATCH(B845,'01_STAFF'!$A:$A,0))*E845,0)</f>
        <v/>
      </c>
    </row>
    <row r="846">
      <c r="A846" t="inlineStr">
        <is>
          <t>2026-06-13</t>
        </is>
      </c>
      <c r="B846" t="inlineStr">
        <is>
          <t>S04</t>
        </is>
      </c>
      <c r="C846" t="inlineStr">
        <is>
          <t>shared</t>
        </is>
      </c>
      <c r="D846" t="inlineStr">
        <is>
          <t>Marketing</t>
        </is>
      </c>
      <c r="E846" t="n">
        <v>7</v>
      </c>
      <c r="F846" t="n">
        <v>0</v>
      </c>
      <c r="G846">
        <f>IFERROR(INDEX('01_STAFF'!$F:$F,MATCH(B846,'01_STAFF'!$A:$A,0))*E846,0)</f>
        <v/>
      </c>
    </row>
    <row r="847">
      <c r="A847" t="inlineStr">
        <is>
          <t>2026-06-15</t>
        </is>
      </c>
      <c r="B847" t="inlineStr">
        <is>
          <t>S01</t>
        </is>
      </c>
      <c r="C847" t="inlineStr">
        <is>
          <t>piggery</t>
        </is>
      </c>
      <c r="D847" t="inlineStr">
        <is>
          <t>Vaccination</t>
        </is>
      </c>
      <c r="E847" t="n">
        <v>8</v>
      </c>
      <c r="F847" t="n">
        <v>0</v>
      </c>
      <c r="G847">
        <f>IFERROR(INDEX('01_STAFF'!$F:$F,MATCH(B847,'01_STAFF'!$A:$A,0))*E847,0)</f>
        <v/>
      </c>
    </row>
    <row r="848">
      <c r="A848" t="inlineStr">
        <is>
          <t>2026-06-15</t>
        </is>
      </c>
      <c r="B848" t="inlineStr">
        <is>
          <t>S02</t>
        </is>
      </c>
      <c r="C848" t="inlineStr">
        <is>
          <t>poultry</t>
        </is>
      </c>
      <c r="D848" t="inlineStr">
        <is>
          <t>Cleaning</t>
        </is>
      </c>
      <c r="E848" t="n">
        <v>8</v>
      </c>
      <c r="F848" t="n">
        <v>0</v>
      </c>
      <c r="G848">
        <f>IFERROR(INDEX('01_STAFF'!$F:$F,MATCH(B848,'01_STAFF'!$A:$A,0))*E848,0)</f>
        <v/>
      </c>
    </row>
    <row r="849">
      <c r="A849" t="inlineStr">
        <is>
          <t>2026-06-15</t>
        </is>
      </c>
      <c r="B849" t="inlineStr">
        <is>
          <t>S04</t>
        </is>
      </c>
      <c r="C849" t="inlineStr">
        <is>
          <t>shared</t>
        </is>
      </c>
      <c r="D849" t="inlineStr">
        <is>
          <t>Weighing</t>
        </is>
      </c>
      <c r="E849" t="n">
        <v>6</v>
      </c>
      <c r="F849" t="n">
        <v>0</v>
      </c>
      <c r="G849">
        <f>IFERROR(INDEX('01_STAFF'!$F:$F,MATCH(B849,'01_STAFF'!$A:$A,0))*E849,0)</f>
        <v/>
      </c>
    </row>
    <row r="850">
      <c r="A850" t="inlineStr">
        <is>
          <t>2026-06-16</t>
        </is>
      </c>
      <c r="B850" t="inlineStr">
        <is>
          <t>S01</t>
        </is>
      </c>
      <c r="C850" t="inlineStr">
        <is>
          <t>piggery</t>
        </is>
      </c>
      <c r="D850" t="inlineStr">
        <is>
          <t>Cleaning</t>
        </is>
      </c>
      <c r="E850" t="n">
        <v>8</v>
      </c>
      <c r="F850" t="n">
        <v>0</v>
      </c>
      <c r="G850">
        <f>IFERROR(INDEX('01_STAFF'!$F:$F,MATCH(B850,'01_STAFF'!$A:$A,0))*E850,0)</f>
        <v/>
      </c>
    </row>
    <row r="851">
      <c r="A851" t="inlineStr">
        <is>
          <t>2026-06-16</t>
        </is>
      </c>
      <c r="B851" t="inlineStr">
        <is>
          <t>S02</t>
        </is>
      </c>
      <c r="C851" t="inlineStr">
        <is>
          <t>poultry</t>
        </is>
      </c>
      <c r="D851" t="inlineStr">
        <is>
          <t>Weighing</t>
        </is>
      </c>
      <c r="E851" t="n">
        <v>8</v>
      </c>
      <c r="F851" t="n">
        <v>0</v>
      </c>
      <c r="G851">
        <f>IFERROR(INDEX('01_STAFF'!$F:$F,MATCH(B851,'01_STAFF'!$A:$A,0))*E851,0)</f>
        <v/>
      </c>
    </row>
    <row r="852">
      <c r="A852" t="inlineStr">
        <is>
          <t>2026-06-16</t>
        </is>
      </c>
      <c r="B852" t="inlineStr">
        <is>
          <t>S03</t>
        </is>
      </c>
      <c r="C852" t="inlineStr">
        <is>
          <t>crops</t>
        </is>
      </c>
      <c r="D852" t="inlineStr">
        <is>
          <t>Maintenance</t>
        </is>
      </c>
      <c r="E852" t="n">
        <v>8</v>
      </c>
      <c r="F852" t="n">
        <v>0</v>
      </c>
      <c r="G852">
        <f>IFERROR(INDEX('01_STAFF'!$F:$F,MATCH(B852,'01_STAFF'!$A:$A,0))*E852,0)</f>
        <v/>
      </c>
    </row>
    <row r="853">
      <c r="A853" t="inlineStr">
        <is>
          <t>2026-06-16</t>
        </is>
      </c>
      <c r="B853" t="inlineStr">
        <is>
          <t>S04</t>
        </is>
      </c>
      <c r="C853" t="inlineStr">
        <is>
          <t>shared</t>
        </is>
      </c>
      <c r="D853" t="inlineStr">
        <is>
          <t>Maintenance</t>
        </is>
      </c>
      <c r="E853" t="n">
        <v>5</v>
      </c>
      <c r="F853" t="n">
        <v>0</v>
      </c>
      <c r="G853">
        <f>IFERROR(INDEX('01_STAFF'!$F:$F,MATCH(B853,'01_STAFF'!$A:$A,0))*E853,0)</f>
        <v/>
      </c>
    </row>
    <row r="854">
      <c r="A854" t="inlineStr">
        <is>
          <t>2026-06-17</t>
        </is>
      </c>
      <c r="B854" t="inlineStr">
        <is>
          <t>S01</t>
        </is>
      </c>
      <c r="C854" t="inlineStr">
        <is>
          <t>piggery</t>
        </is>
      </c>
      <c r="D854" t="inlineStr">
        <is>
          <t>Feeding</t>
        </is>
      </c>
      <c r="E854" t="n">
        <v>8</v>
      </c>
      <c r="F854" t="n">
        <v>0</v>
      </c>
      <c r="G854">
        <f>IFERROR(INDEX('01_STAFF'!$F:$F,MATCH(B854,'01_STAFF'!$A:$A,0))*E854,0)</f>
        <v/>
      </c>
    </row>
    <row r="855">
      <c r="A855" t="inlineStr">
        <is>
          <t>2026-06-17</t>
        </is>
      </c>
      <c r="B855" t="inlineStr">
        <is>
          <t>S02</t>
        </is>
      </c>
      <c r="C855" t="inlineStr">
        <is>
          <t>poultry</t>
        </is>
      </c>
      <c r="D855" t="inlineStr">
        <is>
          <t>Cleaning</t>
        </is>
      </c>
      <c r="E855" t="n">
        <v>8</v>
      </c>
      <c r="F855" t="n">
        <v>0</v>
      </c>
      <c r="G855">
        <f>IFERROR(INDEX('01_STAFF'!$F:$F,MATCH(B855,'01_STAFF'!$A:$A,0))*E855,0)</f>
        <v/>
      </c>
    </row>
    <row r="856">
      <c r="A856" t="inlineStr">
        <is>
          <t>2026-06-17</t>
        </is>
      </c>
      <c r="B856" t="inlineStr">
        <is>
          <t>S03</t>
        </is>
      </c>
      <c r="C856" t="inlineStr">
        <is>
          <t>crops</t>
        </is>
      </c>
      <c r="D856" t="inlineStr">
        <is>
          <t>Land prep</t>
        </is>
      </c>
      <c r="E856" t="n">
        <v>8</v>
      </c>
      <c r="F856" t="n">
        <v>0</v>
      </c>
      <c r="G856">
        <f>IFERROR(INDEX('01_STAFF'!$F:$F,MATCH(B856,'01_STAFF'!$A:$A,0))*E856,0)</f>
        <v/>
      </c>
    </row>
    <row r="857">
      <c r="A857" t="inlineStr">
        <is>
          <t>2026-06-17</t>
        </is>
      </c>
      <c r="B857" t="inlineStr">
        <is>
          <t>S04</t>
        </is>
      </c>
      <c r="C857" t="inlineStr">
        <is>
          <t>shared</t>
        </is>
      </c>
      <c r="D857" t="inlineStr">
        <is>
          <t>Weighing</t>
        </is>
      </c>
      <c r="E857" t="n">
        <v>6</v>
      </c>
      <c r="F857" t="n">
        <v>0</v>
      </c>
      <c r="G857">
        <f>IFERROR(INDEX('01_STAFF'!$F:$F,MATCH(B857,'01_STAFF'!$A:$A,0))*E857,0)</f>
        <v/>
      </c>
    </row>
    <row r="858">
      <c r="A858" t="inlineStr">
        <is>
          <t>2026-06-18</t>
        </is>
      </c>
      <c r="B858" t="inlineStr">
        <is>
          <t>S01</t>
        </is>
      </c>
      <c r="C858" t="inlineStr">
        <is>
          <t>piggery</t>
        </is>
      </c>
      <c r="D858" t="inlineStr">
        <is>
          <t>Weighing</t>
        </is>
      </c>
      <c r="E858" t="n">
        <v>8</v>
      </c>
      <c r="F858" t="n">
        <v>0</v>
      </c>
      <c r="G858">
        <f>IFERROR(INDEX('01_STAFF'!$F:$F,MATCH(B858,'01_STAFF'!$A:$A,0))*E858,0)</f>
        <v/>
      </c>
    </row>
    <row r="859">
      <c r="A859" t="inlineStr">
        <is>
          <t>2026-06-18</t>
        </is>
      </c>
      <c r="B859" t="inlineStr">
        <is>
          <t>S02</t>
        </is>
      </c>
      <c r="C859" t="inlineStr">
        <is>
          <t>poultry</t>
        </is>
      </c>
      <c r="D859" t="inlineStr">
        <is>
          <t>Cleaning</t>
        </is>
      </c>
      <c r="E859" t="n">
        <v>8</v>
      </c>
      <c r="F859" t="n">
        <v>0</v>
      </c>
      <c r="G859">
        <f>IFERROR(INDEX('01_STAFF'!$F:$F,MATCH(B859,'01_STAFF'!$A:$A,0))*E859,0)</f>
        <v/>
      </c>
    </row>
    <row r="860">
      <c r="A860" t="inlineStr">
        <is>
          <t>2026-06-18</t>
        </is>
      </c>
      <c r="B860" t="inlineStr">
        <is>
          <t>S03</t>
        </is>
      </c>
      <c r="C860" t="inlineStr">
        <is>
          <t>crops</t>
        </is>
      </c>
      <c r="D860" t="inlineStr">
        <is>
          <t>Land prep</t>
        </is>
      </c>
      <c r="E860" t="n">
        <v>8</v>
      </c>
      <c r="F860" t="n">
        <v>0</v>
      </c>
      <c r="G860">
        <f>IFERROR(INDEX('01_STAFF'!$F:$F,MATCH(B860,'01_STAFF'!$A:$A,0))*E860,0)</f>
        <v/>
      </c>
    </row>
    <row r="861">
      <c r="A861" t="inlineStr">
        <is>
          <t>2026-06-18</t>
        </is>
      </c>
      <c r="B861" t="inlineStr">
        <is>
          <t>S04</t>
        </is>
      </c>
      <c r="C861" t="inlineStr">
        <is>
          <t>shared</t>
        </is>
      </c>
      <c r="D861" t="inlineStr">
        <is>
          <t>Marketing</t>
        </is>
      </c>
      <c r="E861" t="n">
        <v>6</v>
      </c>
      <c r="F861" t="n">
        <v>0</v>
      </c>
      <c r="G861">
        <f>IFERROR(INDEX('01_STAFF'!$F:$F,MATCH(B861,'01_STAFF'!$A:$A,0))*E861,0)</f>
        <v/>
      </c>
    </row>
    <row r="862">
      <c r="A862" t="inlineStr">
        <is>
          <t>2026-06-19</t>
        </is>
      </c>
      <c r="B862" t="inlineStr">
        <is>
          <t>S01</t>
        </is>
      </c>
      <c r="C862" t="inlineStr">
        <is>
          <t>piggery</t>
        </is>
      </c>
      <c r="D862" t="inlineStr">
        <is>
          <t>Vaccination</t>
        </is>
      </c>
      <c r="E862" t="n">
        <v>8</v>
      </c>
      <c r="F862" t="n">
        <v>0</v>
      </c>
      <c r="G862">
        <f>IFERROR(INDEX('01_STAFF'!$F:$F,MATCH(B862,'01_STAFF'!$A:$A,0))*E862,0)</f>
        <v/>
      </c>
    </row>
    <row r="863">
      <c r="A863" t="inlineStr">
        <is>
          <t>2026-06-19</t>
        </is>
      </c>
      <c r="B863" t="inlineStr">
        <is>
          <t>S02</t>
        </is>
      </c>
      <c r="C863" t="inlineStr">
        <is>
          <t>poultry</t>
        </is>
      </c>
      <c r="D863" t="inlineStr">
        <is>
          <t>Weighing</t>
        </is>
      </c>
      <c r="E863" t="n">
        <v>8</v>
      </c>
      <c r="F863" t="n">
        <v>0</v>
      </c>
      <c r="G863">
        <f>IFERROR(INDEX('01_STAFF'!$F:$F,MATCH(B863,'01_STAFF'!$A:$A,0))*E863,0)</f>
        <v/>
      </c>
    </row>
    <row r="864">
      <c r="A864" t="inlineStr">
        <is>
          <t>2026-06-19</t>
        </is>
      </c>
      <c r="B864" t="inlineStr">
        <is>
          <t>S03</t>
        </is>
      </c>
      <c r="C864" t="inlineStr">
        <is>
          <t>crops</t>
        </is>
      </c>
      <c r="D864" t="inlineStr">
        <is>
          <t>Harvest</t>
        </is>
      </c>
      <c r="E864" t="n">
        <v>8</v>
      </c>
      <c r="F864" t="n">
        <v>0</v>
      </c>
      <c r="G864">
        <f>IFERROR(INDEX('01_STAFF'!$F:$F,MATCH(B864,'01_STAFF'!$A:$A,0))*E864,0)</f>
        <v/>
      </c>
    </row>
    <row r="865">
      <c r="A865" t="inlineStr">
        <is>
          <t>2026-06-19</t>
        </is>
      </c>
      <c r="B865" t="inlineStr">
        <is>
          <t>S04</t>
        </is>
      </c>
      <c r="C865" t="inlineStr">
        <is>
          <t>shared</t>
        </is>
      </c>
      <c r="D865" t="inlineStr">
        <is>
          <t>Vaccination</t>
        </is>
      </c>
      <c r="E865" t="n">
        <v>5</v>
      </c>
      <c r="F865" t="n">
        <v>0</v>
      </c>
      <c r="G865">
        <f>IFERROR(INDEX('01_STAFF'!$F:$F,MATCH(B865,'01_STAFF'!$A:$A,0))*E865,0)</f>
        <v/>
      </c>
    </row>
    <row r="866">
      <c r="A866" t="inlineStr">
        <is>
          <t>2026-06-20</t>
        </is>
      </c>
      <c r="B866" t="inlineStr">
        <is>
          <t>S01</t>
        </is>
      </c>
      <c r="C866" t="inlineStr">
        <is>
          <t>piggery</t>
        </is>
      </c>
      <c r="D866" t="inlineStr">
        <is>
          <t>Cleaning</t>
        </is>
      </c>
      <c r="E866" t="n">
        <v>8</v>
      </c>
      <c r="F866" t="n">
        <v>0</v>
      </c>
      <c r="G866">
        <f>IFERROR(INDEX('01_STAFF'!$F:$F,MATCH(B866,'01_STAFF'!$A:$A,0))*E866,0)</f>
        <v/>
      </c>
    </row>
    <row r="867">
      <c r="A867" t="inlineStr">
        <is>
          <t>2026-06-20</t>
        </is>
      </c>
      <c r="B867" t="inlineStr">
        <is>
          <t>S02</t>
        </is>
      </c>
      <c r="C867" t="inlineStr">
        <is>
          <t>poultry</t>
        </is>
      </c>
      <c r="D867" t="inlineStr">
        <is>
          <t>Weighing</t>
        </is>
      </c>
      <c r="E867" t="n">
        <v>8</v>
      </c>
      <c r="F867" t="n">
        <v>1</v>
      </c>
      <c r="G867">
        <f>IFERROR(INDEX('01_STAFF'!$F:$F,MATCH(B867,'01_STAFF'!$A:$A,0))*E867,0)</f>
        <v/>
      </c>
    </row>
    <row r="868">
      <c r="A868" t="inlineStr">
        <is>
          <t>2026-06-20</t>
        </is>
      </c>
      <c r="B868" t="inlineStr">
        <is>
          <t>S04</t>
        </is>
      </c>
      <c r="C868" t="inlineStr">
        <is>
          <t>shared</t>
        </is>
      </c>
      <c r="D868" t="inlineStr">
        <is>
          <t>Marketing</t>
        </is>
      </c>
      <c r="E868" t="n">
        <v>5</v>
      </c>
      <c r="F868" t="n">
        <v>0</v>
      </c>
      <c r="G868">
        <f>IFERROR(INDEX('01_STAFF'!$F:$F,MATCH(B868,'01_STAFF'!$A:$A,0))*E868,0)</f>
        <v/>
      </c>
    </row>
    <row r="869">
      <c r="A869" t="inlineStr">
        <is>
          <t>2026-06-22</t>
        </is>
      </c>
      <c r="B869" t="inlineStr">
        <is>
          <t>S01</t>
        </is>
      </c>
      <c r="C869" t="inlineStr">
        <is>
          <t>piggery</t>
        </is>
      </c>
      <c r="D869" t="inlineStr">
        <is>
          <t>Cleaning</t>
        </is>
      </c>
      <c r="E869" t="n">
        <v>8</v>
      </c>
      <c r="F869" t="n">
        <v>0</v>
      </c>
      <c r="G869">
        <f>IFERROR(INDEX('01_STAFF'!$F:$F,MATCH(B869,'01_STAFF'!$A:$A,0))*E869,0)</f>
        <v/>
      </c>
    </row>
    <row r="870">
      <c r="A870" t="inlineStr">
        <is>
          <t>2026-06-22</t>
        </is>
      </c>
      <c r="B870" t="inlineStr">
        <is>
          <t>S03</t>
        </is>
      </c>
      <c r="C870" t="inlineStr">
        <is>
          <t>crops</t>
        </is>
      </c>
      <c r="D870" t="inlineStr">
        <is>
          <t>Land prep</t>
        </is>
      </c>
      <c r="E870" t="n">
        <v>8</v>
      </c>
      <c r="F870" t="n">
        <v>1</v>
      </c>
      <c r="G870">
        <f>IFERROR(INDEX('01_STAFF'!$F:$F,MATCH(B870,'01_STAFF'!$A:$A,0))*E870,0)</f>
        <v/>
      </c>
    </row>
    <row r="871">
      <c r="A871" t="inlineStr">
        <is>
          <t>2026-06-22</t>
        </is>
      </c>
      <c r="B871" t="inlineStr">
        <is>
          <t>S04</t>
        </is>
      </c>
      <c r="C871" t="inlineStr">
        <is>
          <t>shared</t>
        </is>
      </c>
      <c r="D871" t="inlineStr">
        <is>
          <t>Weighing</t>
        </is>
      </c>
      <c r="E871" t="n">
        <v>6</v>
      </c>
      <c r="F871" t="n">
        <v>0</v>
      </c>
      <c r="G871">
        <f>IFERROR(INDEX('01_STAFF'!$F:$F,MATCH(B871,'01_STAFF'!$A:$A,0))*E871,0)</f>
        <v/>
      </c>
    </row>
    <row r="872">
      <c r="A872" t="inlineStr">
        <is>
          <t>2026-06-23</t>
        </is>
      </c>
      <c r="B872" t="inlineStr">
        <is>
          <t>S01</t>
        </is>
      </c>
      <c r="C872" t="inlineStr">
        <is>
          <t>piggery</t>
        </is>
      </c>
      <c r="D872" t="inlineStr">
        <is>
          <t>Cleaning</t>
        </is>
      </c>
      <c r="E872" t="n">
        <v>8</v>
      </c>
      <c r="F872" t="n">
        <v>0</v>
      </c>
      <c r="G872">
        <f>IFERROR(INDEX('01_STAFF'!$F:$F,MATCH(B872,'01_STAFF'!$A:$A,0))*E872,0)</f>
        <v/>
      </c>
    </row>
    <row r="873">
      <c r="A873" t="inlineStr">
        <is>
          <t>2026-06-23</t>
        </is>
      </c>
      <c r="B873" t="inlineStr">
        <is>
          <t>S02</t>
        </is>
      </c>
      <c r="C873" t="inlineStr">
        <is>
          <t>poultry</t>
        </is>
      </c>
      <c r="D873" t="inlineStr">
        <is>
          <t>Weighing</t>
        </is>
      </c>
      <c r="E873" t="n">
        <v>8</v>
      </c>
      <c r="F873" t="n">
        <v>0</v>
      </c>
      <c r="G873">
        <f>IFERROR(INDEX('01_STAFF'!$F:$F,MATCH(B873,'01_STAFF'!$A:$A,0))*E873,0)</f>
        <v/>
      </c>
    </row>
    <row r="874">
      <c r="A874" t="inlineStr">
        <is>
          <t>2026-06-23</t>
        </is>
      </c>
      <c r="B874" t="inlineStr">
        <is>
          <t>S03</t>
        </is>
      </c>
      <c r="C874" t="inlineStr">
        <is>
          <t>crops</t>
        </is>
      </c>
      <c r="D874" t="inlineStr">
        <is>
          <t>Maintenance</t>
        </is>
      </c>
      <c r="E874" t="n">
        <v>8</v>
      </c>
      <c r="F874" t="n">
        <v>0</v>
      </c>
      <c r="G874">
        <f>IFERROR(INDEX('01_STAFF'!$F:$F,MATCH(B874,'01_STAFF'!$A:$A,0))*E874,0)</f>
        <v/>
      </c>
    </row>
    <row r="875">
      <c r="A875" t="inlineStr">
        <is>
          <t>2026-06-23</t>
        </is>
      </c>
      <c r="B875" t="inlineStr">
        <is>
          <t>S04</t>
        </is>
      </c>
      <c r="C875" t="inlineStr">
        <is>
          <t>shared</t>
        </is>
      </c>
      <c r="D875" t="inlineStr">
        <is>
          <t>Maintenance</t>
        </is>
      </c>
      <c r="E875" t="n">
        <v>5</v>
      </c>
      <c r="F875" t="n">
        <v>0</v>
      </c>
      <c r="G875">
        <f>IFERROR(INDEX('01_STAFF'!$F:$F,MATCH(B875,'01_STAFF'!$A:$A,0))*E875,0)</f>
        <v/>
      </c>
    </row>
    <row r="876">
      <c r="A876" t="inlineStr">
        <is>
          <t>2026-06-24</t>
        </is>
      </c>
      <c r="B876" t="inlineStr">
        <is>
          <t>S01</t>
        </is>
      </c>
      <c r="C876" t="inlineStr">
        <is>
          <t>piggery</t>
        </is>
      </c>
      <c r="D876" t="inlineStr">
        <is>
          <t>Cleaning</t>
        </is>
      </c>
      <c r="E876" t="n">
        <v>8</v>
      </c>
      <c r="F876" t="n">
        <v>0</v>
      </c>
      <c r="G876">
        <f>IFERROR(INDEX('01_STAFF'!$F:$F,MATCH(B876,'01_STAFF'!$A:$A,0))*E876,0)</f>
        <v/>
      </c>
    </row>
    <row r="877">
      <c r="A877" t="inlineStr">
        <is>
          <t>2026-06-24</t>
        </is>
      </c>
      <c r="B877" t="inlineStr">
        <is>
          <t>S02</t>
        </is>
      </c>
      <c r="C877" t="inlineStr">
        <is>
          <t>poultry</t>
        </is>
      </c>
      <c r="D877" t="inlineStr">
        <is>
          <t>Weighing</t>
        </is>
      </c>
      <c r="E877" t="n">
        <v>8</v>
      </c>
      <c r="F877" t="n">
        <v>0</v>
      </c>
      <c r="G877">
        <f>IFERROR(INDEX('01_STAFF'!$F:$F,MATCH(B877,'01_STAFF'!$A:$A,0))*E877,0)</f>
        <v/>
      </c>
    </row>
    <row r="878">
      <c r="A878" t="inlineStr">
        <is>
          <t>2026-06-24</t>
        </is>
      </c>
      <c r="B878" t="inlineStr">
        <is>
          <t>S03</t>
        </is>
      </c>
      <c r="C878" t="inlineStr">
        <is>
          <t>crops</t>
        </is>
      </c>
      <c r="D878" t="inlineStr">
        <is>
          <t>Weeding</t>
        </is>
      </c>
      <c r="E878" t="n">
        <v>8</v>
      </c>
      <c r="F878" t="n">
        <v>0</v>
      </c>
      <c r="G878">
        <f>IFERROR(INDEX('01_STAFF'!$F:$F,MATCH(B878,'01_STAFF'!$A:$A,0))*E878,0)</f>
        <v/>
      </c>
    </row>
    <row r="879">
      <c r="A879" t="inlineStr">
        <is>
          <t>2026-06-24</t>
        </is>
      </c>
      <c r="B879" t="inlineStr">
        <is>
          <t>S04</t>
        </is>
      </c>
      <c r="C879" t="inlineStr">
        <is>
          <t>shared</t>
        </is>
      </c>
      <c r="D879" t="inlineStr">
        <is>
          <t>Marketing</t>
        </is>
      </c>
      <c r="E879" t="n">
        <v>7</v>
      </c>
      <c r="F879" t="n">
        <v>0</v>
      </c>
      <c r="G879">
        <f>IFERROR(INDEX('01_STAFF'!$F:$F,MATCH(B879,'01_STAFF'!$A:$A,0))*E879,0)</f>
        <v/>
      </c>
    </row>
    <row r="880">
      <c r="A880" t="inlineStr">
        <is>
          <t>2026-06-25</t>
        </is>
      </c>
      <c r="B880" t="inlineStr">
        <is>
          <t>S01</t>
        </is>
      </c>
      <c r="C880" t="inlineStr">
        <is>
          <t>piggery</t>
        </is>
      </c>
      <c r="D880" t="inlineStr">
        <is>
          <t>Cleaning</t>
        </is>
      </c>
      <c r="E880" t="n">
        <v>8</v>
      </c>
      <c r="F880" t="n">
        <v>1</v>
      </c>
      <c r="G880">
        <f>IFERROR(INDEX('01_STAFF'!$F:$F,MATCH(B880,'01_STAFF'!$A:$A,0))*E880,0)</f>
        <v/>
      </c>
    </row>
    <row r="881">
      <c r="A881" t="inlineStr">
        <is>
          <t>2026-06-25</t>
        </is>
      </c>
      <c r="B881" t="inlineStr">
        <is>
          <t>S02</t>
        </is>
      </c>
      <c r="C881" t="inlineStr">
        <is>
          <t>poultry</t>
        </is>
      </c>
      <c r="D881" t="inlineStr">
        <is>
          <t>Cleaning</t>
        </is>
      </c>
      <c r="E881" t="n">
        <v>8</v>
      </c>
      <c r="F881" t="n">
        <v>0</v>
      </c>
      <c r="G881">
        <f>IFERROR(INDEX('01_STAFF'!$F:$F,MATCH(B881,'01_STAFF'!$A:$A,0))*E881,0)</f>
        <v/>
      </c>
    </row>
    <row r="882">
      <c r="A882" t="inlineStr">
        <is>
          <t>2026-06-25</t>
        </is>
      </c>
      <c r="B882" t="inlineStr">
        <is>
          <t>S03</t>
        </is>
      </c>
      <c r="C882" t="inlineStr">
        <is>
          <t>crops</t>
        </is>
      </c>
      <c r="D882" t="inlineStr">
        <is>
          <t>Harvest</t>
        </is>
      </c>
      <c r="E882" t="n">
        <v>8</v>
      </c>
      <c r="F882" t="n">
        <v>0</v>
      </c>
      <c r="G882">
        <f>IFERROR(INDEX('01_STAFF'!$F:$F,MATCH(B882,'01_STAFF'!$A:$A,0))*E882,0)</f>
        <v/>
      </c>
    </row>
    <row r="883">
      <c r="A883" t="inlineStr">
        <is>
          <t>2026-06-25</t>
        </is>
      </c>
      <c r="B883" t="inlineStr">
        <is>
          <t>S04</t>
        </is>
      </c>
      <c r="C883" t="inlineStr">
        <is>
          <t>shared</t>
        </is>
      </c>
      <c r="D883" t="inlineStr">
        <is>
          <t>Weighing</t>
        </is>
      </c>
      <c r="E883" t="n">
        <v>7</v>
      </c>
      <c r="F883" t="n">
        <v>0</v>
      </c>
      <c r="G883">
        <f>IFERROR(INDEX('01_STAFF'!$F:$F,MATCH(B883,'01_STAFF'!$A:$A,0))*E883,0)</f>
        <v/>
      </c>
    </row>
    <row r="884">
      <c r="A884" t="inlineStr">
        <is>
          <t>2026-06-26</t>
        </is>
      </c>
      <c r="B884" t="inlineStr">
        <is>
          <t>S01</t>
        </is>
      </c>
      <c r="C884" t="inlineStr">
        <is>
          <t>piggery</t>
        </is>
      </c>
      <c r="D884" t="inlineStr">
        <is>
          <t>Vaccination</t>
        </is>
      </c>
      <c r="E884" t="n">
        <v>8</v>
      </c>
      <c r="F884" t="n">
        <v>0</v>
      </c>
      <c r="G884">
        <f>IFERROR(INDEX('01_STAFF'!$F:$F,MATCH(B884,'01_STAFF'!$A:$A,0))*E884,0)</f>
        <v/>
      </c>
    </row>
    <row r="885">
      <c r="A885" t="inlineStr">
        <is>
          <t>2026-06-26</t>
        </is>
      </c>
      <c r="B885" t="inlineStr">
        <is>
          <t>S02</t>
        </is>
      </c>
      <c r="C885" t="inlineStr">
        <is>
          <t>poultry</t>
        </is>
      </c>
      <c r="D885" t="inlineStr">
        <is>
          <t>Weighing</t>
        </is>
      </c>
      <c r="E885" t="n">
        <v>8</v>
      </c>
      <c r="F885" t="n">
        <v>0</v>
      </c>
      <c r="G885">
        <f>IFERROR(INDEX('01_STAFF'!$F:$F,MATCH(B885,'01_STAFF'!$A:$A,0))*E885,0)</f>
        <v/>
      </c>
    </row>
    <row r="886">
      <c r="A886" t="inlineStr">
        <is>
          <t>2026-06-26</t>
        </is>
      </c>
      <c r="B886" t="inlineStr">
        <is>
          <t>S03</t>
        </is>
      </c>
      <c r="C886" t="inlineStr">
        <is>
          <t>crops</t>
        </is>
      </c>
      <c r="D886" t="inlineStr">
        <is>
          <t>Spraying</t>
        </is>
      </c>
      <c r="E886" t="n">
        <v>8</v>
      </c>
      <c r="F886" t="n">
        <v>0</v>
      </c>
      <c r="G886">
        <f>IFERROR(INDEX('01_STAFF'!$F:$F,MATCH(B886,'01_STAFF'!$A:$A,0))*E886,0)</f>
        <v/>
      </c>
    </row>
    <row r="887">
      <c r="A887" t="inlineStr">
        <is>
          <t>2026-06-26</t>
        </is>
      </c>
      <c r="B887" t="inlineStr">
        <is>
          <t>S04</t>
        </is>
      </c>
      <c r="C887" t="inlineStr">
        <is>
          <t>shared</t>
        </is>
      </c>
      <c r="D887" t="inlineStr">
        <is>
          <t>Weighing</t>
        </is>
      </c>
      <c r="E887" t="n">
        <v>7</v>
      </c>
      <c r="F887" t="n">
        <v>0</v>
      </c>
      <c r="G887">
        <f>IFERROR(INDEX('01_STAFF'!$F:$F,MATCH(B887,'01_STAFF'!$A:$A,0))*E887,0)</f>
        <v/>
      </c>
    </row>
    <row r="888">
      <c r="A888" t="inlineStr">
        <is>
          <t>2026-06-27</t>
        </is>
      </c>
      <c r="B888" t="inlineStr">
        <is>
          <t>S01</t>
        </is>
      </c>
      <c r="C888" t="inlineStr">
        <is>
          <t>piggery</t>
        </is>
      </c>
      <c r="D888" t="inlineStr">
        <is>
          <t>Vaccination</t>
        </is>
      </c>
      <c r="E888" t="n">
        <v>8</v>
      </c>
      <c r="F888" t="n">
        <v>0</v>
      </c>
      <c r="G888">
        <f>IFERROR(INDEX('01_STAFF'!$F:$F,MATCH(B888,'01_STAFF'!$A:$A,0))*E888,0)</f>
        <v/>
      </c>
    </row>
    <row r="889">
      <c r="A889" t="inlineStr">
        <is>
          <t>2026-06-27</t>
        </is>
      </c>
      <c r="B889" t="inlineStr">
        <is>
          <t>S02</t>
        </is>
      </c>
      <c r="C889" t="inlineStr">
        <is>
          <t>poultry</t>
        </is>
      </c>
      <c r="D889" t="inlineStr">
        <is>
          <t>Feeding</t>
        </is>
      </c>
      <c r="E889" t="n">
        <v>8</v>
      </c>
      <c r="F889" t="n">
        <v>0</v>
      </c>
      <c r="G889">
        <f>IFERROR(INDEX('01_STAFF'!$F:$F,MATCH(B889,'01_STAFF'!$A:$A,0))*E889,0)</f>
        <v/>
      </c>
    </row>
    <row r="890">
      <c r="A890" t="inlineStr">
        <is>
          <t>2026-06-27</t>
        </is>
      </c>
      <c r="B890" t="inlineStr">
        <is>
          <t>S03</t>
        </is>
      </c>
      <c r="C890" t="inlineStr">
        <is>
          <t>crops</t>
        </is>
      </c>
      <c r="D890" t="inlineStr">
        <is>
          <t>Harvest</t>
        </is>
      </c>
      <c r="E890" t="n">
        <v>8</v>
      </c>
      <c r="F890" t="n">
        <v>0</v>
      </c>
      <c r="G890">
        <f>IFERROR(INDEX('01_STAFF'!$F:$F,MATCH(B890,'01_STAFF'!$A:$A,0))*E890,0)</f>
        <v/>
      </c>
    </row>
    <row r="891">
      <c r="A891" t="inlineStr">
        <is>
          <t>2026-06-27</t>
        </is>
      </c>
      <c r="B891" t="inlineStr">
        <is>
          <t>S04</t>
        </is>
      </c>
      <c r="C891" t="inlineStr">
        <is>
          <t>shared</t>
        </is>
      </c>
      <c r="D891" t="inlineStr">
        <is>
          <t>Vaccination</t>
        </is>
      </c>
      <c r="E891" t="n">
        <v>6</v>
      </c>
      <c r="F891" t="n">
        <v>0</v>
      </c>
      <c r="G891">
        <f>IFERROR(INDEX('01_STAFF'!$F:$F,MATCH(B891,'01_STAFF'!$A:$A,0))*E891,0)</f>
        <v/>
      </c>
    </row>
    <row r="892">
      <c r="A892" t="inlineStr">
        <is>
          <t>2026-06-29</t>
        </is>
      </c>
      <c r="B892" t="inlineStr">
        <is>
          <t>S01</t>
        </is>
      </c>
      <c r="C892" t="inlineStr">
        <is>
          <t>piggery</t>
        </is>
      </c>
      <c r="D892" t="inlineStr">
        <is>
          <t>Weighing</t>
        </is>
      </c>
      <c r="E892" t="n">
        <v>8</v>
      </c>
      <c r="F892" t="n">
        <v>0</v>
      </c>
      <c r="G892">
        <f>IFERROR(INDEX('01_STAFF'!$F:$F,MATCH(B892,'01_STAFF'!$A:$A,0))*E892,0)</f>
        <v/>
      </c>
    </row>
    <row r="893">
      <c r="A893" t="inlineStr">
        <is>
          <t>2026-06-29</t>
        </is>
      </c>
      <c r="B893" t="inlineStr">
        <is>
          <t>S02</t>
        </is>
      </c>
      <c r="C893" t="inlineStr">
        <is>
          <t>poultry</t>
        </is>
      </c>
      <c r="D893" t="inlineStr">
        <is>
          <t>Feeding</t>
        </is>
      </c>
      <c r="E893" t="n">
        <v>8</v>
      </c>
      <c r="F893" t="n">
        <v>0</v>
      </c>
      <c r="G893">
        <f>IFERROR(INDEX('01_STAFF'!$F:$F,MATCH(B893,'01_STAFF'!$A:$A,0))*E893,0)</f>
        <v/>
      </c>
    </row>
    <row r="894">
      <c r="A894" t="inlineStr">
        <is>
          <t>2026-06-29</t>
        </is>
      </c>
      <c r="B894" t="inlineStr">
        <is>
          <t>S03</t>
        </is>
      </c>
      <c r="C894" t="inlineStr">
        <is>
          <t>crops</t>
        </is>
      </c>
      <c r="D894" t="inlineStr">
        <is>
          <t>Weeding</t>
        </is>
      </c>
      <c r="E894" t="n">
        <v>8</v>
      </c>
      <c r="F894" t="n">
        <v>0</v>
      </c>
      <c r="G894">
        <f>IFERROR(INDEX('01_STAFF'!$F:$F,MATCH(B894,'01_STAFF'!$A:$A,0))*E894,0)</f>
        <v/>
      </c>
    </row>
    <row r="895">
      <c r="A895" t="inlineStr">
        <is>
          <t>2026-06-29</t>
        </is>
      </c>
      <c r="B895" t="inlineStr">
        <is>
          <t>S04</t>
        </is>
      </c>
      <c r="C895" t="inlineStr">
        <is>
          <t>shared</t>
        </is>
      </c>
      <c r="D895" t="inlineStr">
        <is>
          <t>Vaccination</t>
        </is>
      </c>
      <c r="E895" t="n">
        <v>6</v>
      </c>
      <c r="F895" t="n">
        <v>0</v>
      </c>
      <c r="G895">
        <f>IFERROR(INDEX('01_STAFF'!$F:$F,MATCH(B895,'01_STAFF'!$A:$A,0))*E895,0)</f>
        <v/>
      </c>
    </row>
    <row r="896">
      <c r="A896" t="inlineStr">
        <is>
          <t>2026-06-30</t>
        </is>
      </c>
      <c r="B896" t="inlineStr">
        <is>
          <t>S01</t>
        </is>
      </c>
      <c r="C896" t="inlineStr">
        <is>
          <t>piggery</t>
        </is>
      </c>
      <c r="D896" t="inlineStr">
        <is>
          <t>Vaccination</t>
        </is>
      </c>
      <c r="E896" t="n">
        <v>8</v>
      </c>
      <c r="F896" t="n">
        <v>0</v>
      </c>
      <c r="G896">
        <f>IFERROR(INDEX('01_STAFF'!$F:$F,MATCH(B896,'01_STAFF'!$A:$A,0))*E896,0)</f>
        <v/>
      </c>
    </row>
    <row r="897">
      <c r="A897" t="inlineStr">
        <is>
          <t>2026-06-30</t>
        </is>
      </c>
      <c r="B897" t="inlineStr">
        <is>
          <t>S02</t>
        </is>
      </c>
      <c r="C897" t="inlineStr">
        <is>
          <t>poultry</t>
        </is>
      </c>
      <c r="D897" t="inlineStr">
        <is>
          <t>Cleaning</t>
        </is>
      </c>
      <c r="E897" t="n">
        <v>8</v>
      </c>
      <c r="F897" t="n">
        <v>0</v>
      </c>
      <c r="G897">
        <f>IFERROR(INDEX('01_STAFF'!$F:$F,MATCH(B897,'01_STAFF'!$A:$A,0))*E897,0)</f>
        <v/>
      </c>
    </row>
    <row r="898">
      <c r="A898" t="inlineStr">
        <is>
          <t>2026-06-30</t>
        </is>
      </c>
      <c r="B898" t="inlineStr">
        <is>
          <t>S03</t>
        </is>
      </c>
      <c r="C898" t="inlineStr">
        <is>
          <t>crops</t>
        </is>
      </c>
      <c r="D898" t="inlineStr">
        <is>
          <t>Land prep</t>
        </is>
      </c>
      <c r="E898" t="n">
        <v>8</v>
      </c>
      <c r="F898" t="n">
        <v>0</v>
      </c>
      <c r="G898">
        <f>IFERROR(INDEX('01_STAFF'!$F:$F,MATCH(B898,'01_STAFF'!$A:$A,0))*E898,0)</f>
        <v/>
      </c>
    </row>
    <row r="899">
      <c r="A899" t="inlineStr">
        <is>
          <t>2026-06-30</t>
        </is>
      </c>
      <c r="B899" t="inlineStr">
        <is>
          <t>S04</t>
        </is>
      </c>
      <c r="C899" t="inlineStr">
        <is>
          <t>shared</t>
        </is>
      </c>
      <c r="D899" t="inlineStr">
        <is>
          <t>Maintenance</t>
        </is>
      </c>
      <c r="E899" t="n">
        <v>7</v>
      </c>
      <c r="F899" t="n">
        <v>0</v>
      </c>
      <c r="G899">
        <f>IFERROR(INDEX('01_STAFF'!$F:$F,MATCH(B899,'01_STAFF'!$A:$A,0))*E899,0)</f>
        <v/>
      </c>
    </row>
    <row r="900">
      <c r="A900" t="inlineStr">
        <is>
          <t>2026-07-01</t>
        </is>
      </c>
      <c r="B900" t="inlineStr">
        <is>
          <t>S01</t>
        </is>
      </c>
      <c r="C900" t="inlineStr">
        <is>
          <t>piggery</t>
        </is>
      </c>
      <c r="D900" t="inlineStr">
        <is>
          <t>Feeding</t>
        </is>
      </c>
      <c r="E900" t="n">
        <v>8</v>
      </c>
      <c r="F900" t="n">
        <v>0</v>
      </c>
      <c r="G900">
        <f>IFERROR(INDEX('01_STAFF'!$F:$F,MATCH(B900,'01_STAFF'!$A:$A,0))*E900,0)</f>
        <v/>
      </c>
    </row>
    <row r="901">
      <c r="A901" t="inlineStr">
        <is>
          <t>2026-07-01</t>
        </is>
      </c>
      <c r="B901" t="inlineStr">
        <is>
          <t>S02</t>
        </is>
      </c>
      <c r="C901" t="inlineStr">
        <is>
          <t>poultry</t>
        </is>
      </c>
      <c r="D901" t="inlineStr">
        <is>
          <t>Weighing</t>
        </is>
      </c>
      <c r="E901" t="n">
        <v>8</v>
      </c>
      <c r="F901" t="n">
        <v>0</v>
      </c>
      <c r="G901">
        <f>IFERROR(INDEX('01_STAFF'!$F:$F,MATCH(B901,'01_STAFF'!$A:$A,0))*E901,0)</f>
        <v/>
      </c>
    </row>
    <row r="902">
      <c r="A902" t="inlineStr">
        <is>
          <t>2026-07-01</t>
        </is>
      </c>
      <c r="B902" t="inlineStr">
        <is>
          <t>S03</t>
        </is>
      </c>
      <c r="C902" t="inlineStr">
        <is>
          <t>crops</t>
        </is>
      </c>
      <c r="D902" t="inlineStr">
        <is>
          <t>Spraying</t>
        </is>
      </c>
      <c r="E902" t="n">
        <v>8</v>
      </c>
      <c r="F902" t="n">
        <v>0</v>
      </c>
      <c r="G902">
        <f>IFERROR(INDEX('01_STAFF'!$F:$F,MATCH(B902,'01_STAFF'!$A:$A,0))*E902,0)</f>
        <v/>
      </c>
    </row>
    <row r="903">
      <c r="A903" t="inlineStr">
        <is>
          <t>2026-07-01</t>
        </is>
      </c>
      <c r="B903" t="inlineStr">
        <is>
          <t>S04</t>
        </is>
      </c>
      <c r="C903" t="inlineStr">
        <is>
          <t>shared</t>
        </is>
      </c>
      <c r="D903" t="inlineStr">
        <is>
          <t>Vaccination</t>
        </is>
      </c>
      <c r="E903" t="n">
        <v>5</v>
      </c>
      <c r="F903" t="n">
        <v>0</v>
      </c>
      <c r="G903">
        <f>IFERROR(INDEX('01_STAFF'!$F:$F,MATCH(B903,'01_STAFF'!$A:$A,0))*E903,0)</f>
        <v/>
      </c>
    </row>
    <row r="904">
      <c r="A904" t="inlineStr">
        <is>
          <t>2026-07-02</t>
        </is>
      </c>
      <c r="B904" t="inlineStr">
        <is>
          <t>S01</t>
        </is>
      </c>
      <c r="C904" t="inlineStr">
        <is>
          <t>piggery</t>
        </is>
      </c>
      <c r="D904" t="inlineStr">
        <is>
          <t>Weighing</t>
        </is>
      </c>
      <c r="E904" t="n">
        <v>8</v>
      </c>
      <c r="F904" t="n">
        <v>1</v>
      </c>
      <c r="G904">
        <f>IFERROR(INDEX('01_STAFF'!$F:$F,MATCH(B904,'01_STAFF'!$A:$A,0))*E904,0)</f>
        <v/>
      </c>
    </row>
    <row r="905">
      <c r="A905" t="inlineStr">
        <is>
          <t>2026-07-02</t>
        </is>
      </c>
      <c r="B905" t="inlineStr">
        <is>
          <t>S02</t>
        </is>
      </c>
      <c r="C905" t="inlineStr">
        <is>
          <t>poultry</t>
        </is>
      </c>
      <c r="D905" t="inlineStr">
        <is>
          <t>Weighing</t>
        </is>
      </c>
      <c r="E905" t="n">
        <v>8</v>
      </c>
      <c r="F905" t="n">
        <v>0</v>
      </c>
      <c r="G905">
        <f>IFERROR(INDEX('01_STAFF'!$F:$F,MATCH(B905,'01_STAFF'!$A:$A,0))*E905,0)</f>
        <v/>
      </c>
    </row>
    <row r="906">
      <c r="A906" t="inlineStr">
        <is>
          <t>2026-07-02</t>
        </is>
      </c>
      <c r="B906" t="inlineStr">
        <is>
          <t>S03</t>
        </is>
      </c>
      <c r="C906" t="inlineStr">
        <is>
          <t>crops</t>
        </is>
      </c>
      <c r="D906" t="inlineStr">
        <is>
          <t>Harvest</t>
        </is>
      </c>
      <c r="E906" t="n">
        <v>8</v>
      </c>
      <c r="F906" t="n">
        <v>0</v>
      </c>
      <c r="G906">
        <f>IFERROR(INDEX('01_STAFF'!$F:$F,MATCH(B906,'01_STAFF'!$A:$A,0))*E906,0)</f>
        <v/>
      </c>
    </row>
    <row r="907">
      <c r="A907" t="inlineStr">
        <is>
          <t>2026-07-02</t>
        </is>
      </c>
      <c r="B907" t="inlineStr">
        <is>
          <t>S04</t>
        </is>
      </c>
      <c r="C907" t="inlineStr">
        <is>
          <t>shared</t>
        </is>
      </c>
      <c r="D907" t="inlineStr">
        <is>
          <t>Maintenance</t>
        </is>
      </c>
      <c r="E907" t="n">
        <v>6</v>
      </c>
      <c r="F907" t="n">
        <v>0</v>
      </c>
      <c r="G907">
        <f>IFERROR(INDEX('01_STAFF'!$F:$F,MATCH(B907,'01_STAFF'!$A:$A,0))*E907,0)</f>
        <v/>
      </c>
    </row>
    <row r="908">
      <c r="A908" t="inlineStr">
        <is>
          <t>2026-07-03</t>
        </is>
      </c>
      <c r="B908" t="inlineStr">
        <is>
          <t>S01</t>
        </is>
      </c>
      <c r="C908" t="inlineStr">
        <is>
          <t>piggery</t>
        </is>
      </c>
      <c r="D908" t="inlineStr">
        <is>
          <t>Cleaning</t>
        </is>
      </c>
      <c r="E908" t="n">
        <v>8</v>
      </c>
      <c r="F908" t="n">
        <v>0</v>
      </c>
      <c r="G908">
        <f>IFERROR(INDEX('01_STAFF'!$F:$F,MATCH(B908,'01_STAFF'!$A:$A,0))*E908,0)</f>
        <v/>
      </c>
    </row>
    <row r="909">
      <c r="A909" t="inlineStr">
        <is>
          <t>2026-07-03</t>
        </is>
      </c>
      <c r="B909" t="inlineStr">
        <is>
          <t>S02</t>
        </is>
      </c>
      <c r="C909" t="inlineStr">
        <is>
          <t>poultry</t>
        </is>
      </c>
      <c r="D909" t="inlineStr">
        <is>
          <t>Cleaning</t>
        </is>
      </c>
      <c r="E909" t="n">
        <v>8</v>
      </c>
      <c r="F909" t="n">
        <v>0</v>
      </c>
      <c r="G909">
        <f>IFERROR(INDEX('01_STAFF'!$F:$F,MATCH(B909,'01_STAFF'!$A:$A,0))*E909,0)</f>
        <v/>
      </c>
    </row>
    <row r="910">
      <c r="A910" t="inlineStr">
        <is>
          <t>2026-07-03</t>
        </is>
      </c>
      <c r="B910" t="inlineStr">
        <is>
          <t>S03</t>
        </is>
      </c>
      <c r="C910" t="inlineStr">
        <is>
          <t>crops</t>
        </is>
      </c>
      <c r="D910" t="inlineStr">
        <is>
          <t>Maintenance</t>
        </is>
      </c>
      <c r="E910" t="n">
        <v>8</v>
      </c>
      <c r="F910" t="n">
        <v>0</v>
      </c>
      <c r="G910">
        <f>IFERROR(INDEX('01_STAFF'!$F:$F,MATCH(B910,'01_STAFF'!$A:$A,0))*E910,0)</f>
        <v/>
      </c>
    </row>
    <row r="911">
      <c r="A911" t="inlineStr">
        <is>
          <t>2026-07-03</t>
        </is>
      </c>
      <c r="B911" t="inlineStr">
        <is>
          <t>S04</t>
        </is>
      </c>
      <c r="C911" t="inlineStr">
        <is>
          <t>shared</t>
        </is>
      </c>
      <c r="D911" t="inlineStr">
        <is>
          <t>Weighing</t>
        </is>
      </c>
      <c r="E911" t="n">
        <v>6</v>
      </c>
      <c r="F911" t="n">
        <v>1</v>
      </c>
      <c r="G911">
        <f>IFERROR(INDEX('01_STAFF'!$F:$F,MATCH(B911,'01_STAFF'!$A:$A,0))*E911,0)</f>
        <v/>
      </c>
    </row>
    <row r="912">
      <c r="A912" t="inlineStr">
        <is>
          <t>2026-07-04</t>
        </is>
      </c>
      <c r="B912" t="inlineStr">
        <is>
          <t>S01</t>
        </is>
      </c>
      <c r="C912" t="inlineStr">
        <is>
          <t>piggery</t>
        </is>
      </c>
      <c r="D912" t="inlineStr">
        <is>
          <t>Vaccination</t>
        </is>
      </c>
      <c r="E912" t="n">
        <v>8</v>
      </c>
      <c r="F912" t="n">
        <v>0</v>
      </c>
      <c r="G912">
        <f>IFERROR(INDEX('01_STAFF'!$F:$F,MATCH(B912,'01_STAFF'!$A:$A,0))*E912,0)</f>
        <v/>
      </c>
    </row>
    <row r="913">
      <c r="A913" t="inlineStr">
        <is>
          <t>2026-07-04</t>
        </is>
      </c>
      <c r="B913" t="inlineStr">
        <is>
          <t>S02</t>
        </is>
      </c>
      <c r="C913" t="inlineStr">
        <is>
          <t>poultry</t>
        </is>
      </c>
      <c r="D913" t="inlineStr">
        <is>
          <t>Cleaning</t>
        </is>
      </c>
      <c r="E913" t="n">
        <v>8</v>
      </c>
      <c r="F913" t="n">
        <v>0</v>
      </c>
      <c r="G913">
        <f>IFERROR(INDEX('01_STAFF'!$F:$F,MATCH(B913,'01_STAFF'!$A:$A,0))*E913,0)</f>
        <v/>
      </c>
    </row>
    <row r="914">
      <c r="A914" t="inlineStr">
        <is>
          <t>2026-07-04</t>
        </is>
      </c>
      <c r="B914" t="inlineStr">
        <is>
          <t>S03</t>
        </is>
      </c>
      <c r="C914" t="inlineStr">
        <is>
          <t>crops</t>
        </is>
      </c>
      <c r="D914" t="inlineStr">
        <is>
          <t>Land prep</t>
        </is>
      </c>
      <c r="E914" t="n">
        <v>8</v>
      </c>
      <c r="F914" t="n">
        <v>0</v>
      </c>
      <c r="G914">
        <f>IFERROR(INDEX('01_STAFF'!$F:$F,MATCH(B914,'01_STAFF'!$A:$A,0))*E914,0)</f>
        <v/>
      </c>
    </row>
    <row r="915">
      <c r="A915" t="inlineStr">
        <is>
          <t>2026-07-04</t>
        </is>
      </c>
      <c r="B915" t="inlineStr">
        <is>
          <t>S04</t>
        </is>
      </c>
      <c r="C915" t="inlineStr">
        <is>
          <t>shared</t>
        </is>
      </c>
      <c r="D915" t="inlineStr">
        <is>
          <t>Marketing</t>
        </is>
      </c>
      <c r="E915" t="n">
        <v>6</v>
      </c>
      <c r="F915" t="n">
        <v>0</v>
      </c>
      <c r="G915">
        <f>IFERROR(INDEX('01_STAFF'!$F:$F,MATCH(B915,'01_STAFF'!$A:$A,0))*E915,0)</f>
        <v/>
      </c>
    </row>
    <row r="916">
      <c r="A916" t="inlineStr">
        <is>
          <t>2026-07-06</t>
        </is>
      </c>
      <c r="B916" t="inlineStr">
        <is>
          <t>S01</t>
        </is>
      </c>
      <c r="C916" t="inlineStr">
        <is>
          <t>piggery</t>
        </is>
      </c>
      <c r="D916" t="inlineStr">
        <is>
          <t>Weighing</t>
        </is>
      </c>
      <c r="E916" t="n">
        <v>8</v>
      </c>
      <c r="F916" t="n">
        <v>0</v>
      </c>
      <c r="G916">
        <f>IFERROR(INDEX('01_STAFF'!$F:$F,MATCH(B916,'01_STAFF'!$A:$A,0))*E916,0)</f>
        <v/>
      </c>
    </row>
    <row r="917">
      <c r="A917" t="inlineStr">
        <is>
          <t>2026-07-06</t>
        </is>
      </c>
      <c r="B917" t="inlineStr">
        <is>
          <t>S02</t>
        </is>
      </c>
      <c r="C917" t="inlineStr">
        <is>
          <t>poultry</t>
        </is>
      </c>
      <c r="D917" t="inlineStr">
        <is>
          <t>Vaccination</t>
        </is>
      </c>
      <c r="E917" t="n">
        <v>8</v>
      </c>
      <c r="F917" t="n">
        <v>0</v>
      </c>
      <c r="G917">
        <f>IFERROR(INDEX('01_STAFF'!$F:$F,MATCH(B917,'01_STAFF'!$A:$A,0))*E917,0)</f>
        <v/>
      </c>
    </row>
    <row r="918">
      <c r="A918" t="inlineStr">
        <is>
          <t>2026-07-06</t>
        </is>
      </c>
      <c r="B918" t="inlineStr">
        <is>
          <t>S03</t>
        </is>
      </c>
      <c r="C918" t="inlineStr">
        <is>
          <t>crops</t>
        </is>
      </c>
      <c r="D918" t="inlineStr">
        <is>
          <t>Spraying</t>
        </is>
      </c>
      <c r="E918" t="n">
        <v>8</v>
      </c>
      <c r="F918" t="n">
        <v>0</v>
      </c>
      <c r="G918">
        <f>IFERROR(INDEX('01_STAFF'!$F:$F,MATCH(B918,'01_STAFF'!$A:$A,0))*E918,0)</f>
        <v/>
      </c>
    </row>
    <row r="919">
      <c r="A919" t="inlineStr">
        <is>
          <t>2026-07-07</t>
        </is>
      </c>
      <c r="B919" t="inlineStr">
        <is>
          <t>S01</t>
        </is>
      </c>
      <c r="C919" t="inlineStr">
        <is>
          <t>piggery</t>
        </is>
      </c>
      <c r="D919" t="inlineStr">
        <is>
          <t>Cleaning</t>
        </is>
      </c>
      <c r="E919" t="n">
        <v>8</v>
      </c>
      <c r="F919" t="n">
        <v>0</v>
      </c>
      <c r="G919">
        <f>IFERROR(INDEX('01_STAFF'!$F:$F,MATCH(B919,'01_STAFF'!$A:$A,0))*E919,0)</f>
        <v/>
      </c>
    </row>
    <row r="920">
      <c r="A920" t="inlineStr">
        <is>
          <t>2026-07-07</t>
        </is>
      </c>
      <c r="B920" t="inlineStr">
        <is>
          <t>S02</t>
        </is>
      </c>
      <c r="C920" t="inlineStr">
        <is>
          <t>poultry</t>
        </is>
      </c>
      <c r="D920" t="inlineStr">
        <is>
          <t>Weighing</t>
        </is>
      </c>
      <c r="E920" t="n">
        <v>8</v>
      </c>
      <c r="F920" t="n">
        <v>0</v>
      </c>
      <c r="G920">
        <f>IFERROR(INDEX('01_STAFF'!$F:$F,MATCH(B920,'01_STAFF'!$A:$A,0))*E920,0)</f>
        <v/>
      </c>
    </row>
    <row r="921">
      <c r="A921" t="inlineStr">
        <is>
          <t>2026-07-07</t>
        </is>
      </c>
      <c r="B921" t="inlineStr">
        <is>
          <t>S03</t>
        </is>
      </c>
      <c r="C921" t="inlineStr">
        <is>
          <t>crops</t>
        </is>
      </c>
      <c r="D921" t="inlineStr">
        <is>
          <t>Maintenance</t>
        </is>
      </c>
      <c r="E921" t="n">
        <v>8</v>
      </c>
      <c r="F921" t="n">
        <v>0</v>
      </c>
      <c r="G921">
        <f>IFERROR(INDEX('01_STAFF'!$F:$F,MATCH(B921,'01_STAFF'!$A:$A,0))*E921,0)</f>
        <v/>
      </c>
    </row>
    <row r="922">
      <c r="A922" t="inlineStr">
        <is>
          <t>2026-07-07</t>
        </is>
      </c>
      <c r="B922" t="inlineStr">
        <is>
          <t>S04</t>
        </is>
      </c>
      <c r="C922" t="inlineStr">
        <is>
          <t>shared</t>
        </is>
      </c>
      <c r="D922" t="inlineStr">
        <is>
          <t>Weighing</t>
        </is>
      </c>
      <c r="E922" t="n">
        <v>5</v>
      </c>
      <c r="F922" t="n">
        <v>0</v>
      </c>
      <c r="G922">
        <f>IFERROR(INDEX('01_STAFF'!$F:$F,MATCH(B922,'01_STAFF'!$A:$A,0))*E922,0)</f>
        <v/>
      </c>
    </row>
    <row r="923">
      <c r="A923" t="inlineStr">
        <is>
          <t>2026-07-08</t>
        </is>
      </c>
      <c r="B923" t="inlineStr">
        <is>
          <t>S01</t>
        </is>
      </c>
      <c r="C923" t="inlineStr">
        <is>
          <t>piggery</t>
        </is>
      </c>
      <c r="D923" t="inlineStr">
        <is>
          <t>Cleaning</t>
        </is>
      </c>
      <c r="E923" t="n">
        <v>8</v>
      </c>
      <c r="F923" t="n">
        <v>0</v>
      </c>
      <c r="G923">
        <f>IFERROR(INDEX('01_STAFF'!$F:$F,MATCH(B923,'01_STAFF'!$A:$A,0))*E923,0)</f>
        <v/>
      </c>
    </row>
    <row r="924">
      <c r="A924" t="inlineStr">
        <is>
          <t>2026-07-08</t>
        </is>
      </c>
      <c r="B924" t="inlineStr">
        <is>
          <t>S02</t>
        </is>
      </c>
      <c r="C924" t="inlineStr">
        <is>
          <t>poultry</t>
        </is>
      </c>
      <c r="D924" t="inlineStr">
        <is>
          <t>Vaccination</t>
        </is>
      </c>
      <c r="E924" t="n">
        <v>8</v>
      </c>
      <c r="F924" t="n">
        <v>0</v>
      </c>
      <c r="G924">
        <f>IFERROR(INDEX('01_STAFF'!$F:$F,MATCH(B924,'01_STAFF'!$A:$A,0))*E924,0)</f>
        <v/>
      </c>
    </row>
    <row r="925">
      <c r="A925" t="inlineStr">
        <is>
          <t>2026-07-08</t>
        </is>
      </c>
      <c r="B925" t="inlineStr">
        <is>
          <t>S03</t>
        </is>
      </c>
      <c r="C925" t="inlineStr">
        <is>
          <t>crops</t>
        </is>
      </c>
      <c r="D925" t="inlineStr">
        <is>
          <t>Weeding</t>
        </is>
      </c>
      <c r="E925" t="n">
        <v>8</v>
      </c>
      <c r="F925" t="n">
        <v>0</v>
      </c>
      <c r="G925">
        <f>IFERROR(INDEX('01_STAFF'!$F:$F,MATCH(B925,'01_STAFF'!$A:$A,0))*E925,0)</f>
        <v/>
      </c>
    </row>
    <row r="926">
      <c r="A926" t="inlineStr">
        <is>
          <t>2026-07-08</t>
        </is>
      </c>
      <c r="B926" t="inlineStr">
        <is>
          <t>S04</t>
        </is>
      </c>
      <c r="C926" t="inlineStr">
        <is>
          <t>shared</t>
        </is>
      </c>
      <c r="D926" t="inlineStr">
        <is>
          <t>Maintenance</t>
        </is>
      </c>
      <c r="E926" t="n">
        <v>7</v>
      </c>
      <c r="F926" t="n">
        <v>0</v>
      </c>
      <c r="G926">
        <f>IFERROR(INDEX('01_STAFF'!$F:$F,MATCH(B926,'01_STAFF'!$A:$A,0))*E926,0)</f>
        <v/>
      </c>
    </row>
    <row r="927">
      <c r="A927" t="inlineStr">
        <is>
          <t>2026-07-09</t>
        </is>
      </c>
      <c r="B927" t="inlineStr">
        <is>
          <t>S02</t>
        </is>
      </c>
      <c r="C927" t="inlineStr">
        <is>
          <t>poultry</t>
        </is>
      </c>
      <c r="D927" t="inlineStr">
        <is>
          <t>Vaccination</t>
        </is>
      </c>
      <c r="E927" t="n">
        <v>8</v>
      </c>
      <c r="F927" t="n">
        <v>0</v>
      </c>
      <c r="G927">
        <f>IFERROR(INDEX('01_STAFF'!$F:$F,MATCH(B927,'01_STAFF'!$A:$A,0))*E927,0)</f>
        <v/>
      </c>
    </row>
    <row r="928">
      <c r="A928" t="inlineStr">
        <is>
          <t>2026-07-09</t>
        </is>
      </c>
      <c r="B928" t="inlineStr">
        <is>
          <t>S03</t>
        </is>
      </c>
      <c r="C928" t="inlineStr">
        <is>
          <t>crops</t>
        </is>
      </c>
      <c r="D928" t="inlineStr">
        <is>
          <t>Maintenance</t>
        </is>
      </c>
      <c r="E928" t="n">
        <v>8</v>
      </c>
      <c r="F928" t="n">
        <v>1</v>
      </c>
      <c r="G928">
        <f>IFERROR(INDEX('01_STAFF'!$F:$F,MATCH(B928,'01_STAFF'!$A:$A,0))*E928,0)</f>
        <v/>
      </c>
    </row>
    <row r="929">
      <c r="A929" t="inlineStr">
        <is>
          <t>2026-07-10</t>
        </is>
      </c>
      <c r="B929" t="inlineStr">
        <is>
          <t>S01</t>
        </is>
      </c>
      <c r="C929" t="inlineStr">
        <is>
          <t>piggery</t>
        </is>
      </c>
      <c r="D929" t="inlineStr">
        <is>
          <t>Cleaning</t>
        </is>
      </c>
      <c r="E929" t="n">
        <v>8</v>
      </c>
      <c r="F929" t="n">
        <v>0</v>
      </c>
      <c r="G929">
        <f>IFERROR(INDEX('01_STAFF'!$F:$F,MATCH(B929,'01_STAFF'!$A:$A,0))*E929,0)</f>
        <v/>
      </c>
    </row>
    <row r="930">
      <c r="A930" t="inlineStr">
        <is>
          <t>2026-07-10</t>
        </is>
      </c>
      <c r="B930" t="inlineStr">
        <is>
          <t>S02</t>
        </is>
      </c>
      <c r="C930" t="inlineStr">
        <is>
          <t>poultry</t>
        </is>
      </c>
      <c r="D930" t="inlineStr">
        <is>
          <t>Vaccination</t>
        </is>
      </c>
      <c r="E930" t="n">
        <v>8</v>
      </c>
      <c r="F930" t="n">
        <v>0</v>
      </c>
      <c r="G930">
        <f>IFERROR(INDEX('01_STAFF'!$F:$F,MATCH(B930,'01_STAFF'!$A:$A,0))*E930,0)</f>
        <v/>
      </c>
    </row>
    <row r="931">
      <c r="A931" t="inlineStr">
        <is>
          <t>2026-07-10</t>
        </is>
      </c>
      <c r="B931" t="inlineStr">
        <is>
          <t>S03</t>
        </is>
      </c>
      <c r="C931" t="inlineStr">
        <is>
          <t>crops</t>
        </is>
      </c>
      <c r="D931" t="inlineStr">
        <is>
          <t>Maintenance</t>
        </is>
      </c>
      <c r="E931" t="n">
        <v>8</v>
      </c>
      <c r="F931" t="n">
        <v>0</v>
      </c>
      <c r="G931">
        <f>IFERROR(INDEX('01_STAFF'!$F:$F,MATCH(B931,'01_STAFF'!$A:$A,0))*E931,0)</f>
        <v/>
      </c>
    </row>
    <row r="932">
      <c r="A932" t="inlineStr">
        <is>
          <t>2026-07-10</t>
        </is>
      </c>
      <c r="B932" t="inlineStr">
        <is>
          <t>S04</t>
        </is>
      </c>
      <c r="C932" t="inlineStr">
        <is>
          <t>shared</t>
        </is>
      </c>
      <c r="D932" t="inlineStr">
        <is>
          <t>Weighing</t>
        </is>
      </c>
      <c r="E932" t="n">
        <v>7</v>
      </c>
      <c r="F932" t="n">
        <v>0</v>
      </c>
      <c r="G932">
        <f>IFERROR(INDEX('01_STAFF'!$F:$F,MATCH(B932,'01_STAFF'!$A:$A,0))*E932,0)</f>
        <v/>
      </c>
    </row>
    <row r="933">
      <c r="A933" t="inlineStr">
        <is>
          <t>2026-07-11</t>
        </is>
      </c>
      <c r="B933" t="inlineStr">
        <is>
          <t>S01</t>
        </is>
      </c>
      <c r="C933" t="inlineStr">
        <is>
          <t>piggery</t>
        </is>
      </c>
      <c r="D933" t="inlineStr">
        <is>
          <t>Cleaning</t>
        </is>
      </c>
      <c r="E933" t="n">
        <v>8</v>
      </c>
      <c r="F933" t="n">
        <v>0</v>
      </c>
      <c r="G933">
        <f>IFERROR(INDEX('01_STAFF'!$F:$F,MATCH(B933,'01_STAFF'!$A:$A,0))*E933,0)</f>
        <v/>
      </c>
    </row>
    <row r="934">
      <c r="A934" t="inlineStr">
        <is>
          <t>2026-07-11</t>
        </is>
      </c>
      <c r="B934" t="inlineStr">
        <is>
          <t>S02</t>
        </is>
      </c>
      <c r="C934" t="inlineStr">
        <is>
          <t>poultry</t>
        </is>
      </c>
      <c r="D934" t="inlineStr">
        <is>
          <t>Vaccination</t>
        </is>
      </c>
      <c r="E934" t="n">
        <v>8</v>
      </c>
      <c r="F934" t="n">
        <v>0</v>
      </c>
      <c r="G934">
        <f>IFERROR(INDEX('01_STAFF'!$F:$F,MATCH(B934,'01_STAFF'!$A:$A,0))*E934,0)</f>
        <v/>
      </c>
    </row>
    <row r="935">
      <c r="A935" t="inlineStr">
        <is>
          <t>2026-07-11</t>
        </is>
      </c>
      <c r="B935" t="inlineStr">
        <is>
          <t>S03</t>
        </is>
      </c>
      <c r="C935" t="inlineStr">
        <is>
          <t>crops</t>
        </is>
      </c>
      <c r="D935" t="inlineStr">
        <is>
          <t>Spraying</t>
        </is>
      </c>
      <c r="E935" t="n">
        <v>8</v>
      </c>
      <c r="F935" t="n">
        <v>0</v>
      </c>
      <c r="G935">
        <f>IFERROR(INDEX('01_STAFF'!$F:$F,MATCH(B935,'01_STAFF'!$A:$A,0))*E935,0)</f>
        <v/>
      </c>
    </row>
    <row r="936">
      <c r="A936" t="inlineStr">
        <is>
          <t>2026-07-11</t>
        </is>
      </c>
      <c r="B936" t="inlineStr">
        <is>
          <t>S04</t>
        </is>
      </c>
      <c r="C936" t="inlineStr">
        <is>
          <t>shared</t>
        </is>
      </c>
      <c r="D936" t="inlineStr">
        <is>
          <t>Weighing</t>
        </is>
      </c>
      <c r="E936" t="n">
        <v>5</v>
      </c>
      <c r="F936" t="n">
        <v>1</v>
      </c>
      <c r="G936">
        <f>IFERROR(INDEX('01_STAFF'!$F:$F,MATCH(B936,'01_STAFF'!$A:$A,0))*E936,0)</f>
        <v/>
      </c>
    </row>
    <row r="937">
      <c r="A937" t="inlineStr">
        <is>
          <t>2026-07-12</t>
        </is>
      </c>
      <c r="B937" t="inlineStr">
        <is>
          <t>S02</t>
        </is>
      </c>
      <c r="C937" t="inlineStr">
        <is>
          <t>poultry</t>
        </is>
      </c>
      <c r="D937" t="inlineStr">
        <is>
          <t>Cleaning</t>
        </is>
      </c>
      <c r="E937" t="n">
        <v>8</v>
      </c>
      <c r="F937" t="n">
        <v>0</v>
      </c>
      <c r="G937">
        <f>IFERROR(INDEX('01_STAFF'!$F:$F,MATCH(B937,'01_STAFF'!$A:$A,0))*E937,0)</f>
        <v/>
      </c>
    </row>
    <row r="938">
      <c r="A938" t="inlineStr">
        <is>
          <t>2026-07-12</t>
        </is>
      </c>
      <c r="B938" t="inlineStr">
        <is>
          <t>S03</t>
        </is>
      </c>
      <c r="C938" t="inlineStr">
        <is>
          <t>crops</t>
        </is>
      </c>
      <c r="D938" t="inlineStr">
        <is>
          <t>Harvest</t>
        </is>
      </c>
      <c r="E938" t="n">
        <v>8</v>
      </c>
      <c r="F938" t="n">
        <v>0</v>
      </c>
      <c r="G938">
        <f>IFERROR(INDEX('01_STAFF'!$F:$F,MATCH(B938,'01_STAFF'!$A:$A,0))*E938,0)</f>
        <v/>
      </c>
    </row>
    <row r="939">
      <c r="A939" t="inlineStr">
        <is>
          <t>2026-07-12</t>
        </is>
      </c>
      <c r="B939" t="inlineStr">
        <is>
          <t>S04</t>
        </is>
      </c>
      <c r="C939" t="inlineStr">
        <is>
          <t>shared</t>
        </is>
      </c>
      <c r="D939" t="inlineStr">
        <is>
          <t>Maintenance</t>
        </is>
      </c>
      <c r="E939" t="n">
        <v>5</v>
      </c>
      <c r="F939" t="n">
        <v>0</v>
      </c>
      <c r="G939">
        <f>IFERROR(INDEX('01_STAFF'!$F:$F,MATCH(B939,'01_STAFF'!$A:$A,0))*E939,0)</f>
        <v/>
      </c>
    </row>
    <row r="940">
      <c r="A940" t="inlineStr">
        <is>
          <t>2026-07-13</t>
        </is>
      </c>
      <c r="B940" t="inlineStr">
        <is>
          <t>S01</t>
        </is>
      </c>
      <c r="C940" t="inlineStr">
        <is>
          <t>piggery</t>
        </is>
      </c>
      <c r="D940" t="inlineStr">
        <is>
          <t>Weighing</t>
        </is>
      </c>
      <c r="E940" t="n">
        <v>8</v>
      </c>
      <c r="F940" t="n">
        <v>0</v>
      </c>
      <c r="G940">
        <f>IFERROR(INDEX('01_STAFF'!$F:$F,MATCH(B940,'01_STAFF'!$A:$A,0))*E940,0)</f>
        <v/>
      </c>
    </row>
    <row r="941">
      <c r="A941" t="inlineStr">
        <is>
          <t>2026-07-13</t>
        </is>
      </c>
      <c r="B941" t="inlineStr">
        <is>
          <t>S02</t>
        </is>
      </c>
      <c r="C941" t="inlineStr">
        <is>
          <t>poultry</t>
        </is>
      </c>
      <c r="D941" t="inlineStr">
        <is>
          <t>Cleaning</t>
        </is>
      </c>
      <c r="E941" t="n">
        <v>8</v>
      </c>
      <c r="F941" t="n">
        <v>0</v>
      </c>
      <c r="G941">
        <f>IFERROR(INDEX('01_STAFF'!$F:$F,MATCH(B941,'01_STAFF'!$A:$A,0))*E941,0)</f>
        <v/>
      </c>
    </row>
    <row r="942">
      <c r="A942" t="inlineStr">
        <is>
          <t>2026-07-13</t>
        </is>
      </c>
      <c r="B942" t="inlineStr">
        <is>
          <t>S03</t>
        </is>
      </c>
      <c r="C942" t="inlineStr">
        <is>
          <t>crops</t>
        </is>
      </c>
      <c r="D942" t="inlineStr">
        <is>
          <t>Maintenance</t>
        </is>
      </c>
      <c r="E942" t="n">
        <v>8</v>
      </c>
      <c r="F942" t="n">
        <v>0</v>
      </c>
      <c r="G942">
        <f>IFERROR(INDEX('01_STAFF'!$F:$F,MATCH(B942,'01_STAFF'!$A:$A,0))*E942,0)</f>
        <v/>
      </c>
    </row>
    <row r="943">
      <c r="A943" t="inlineStr">
        <is>
          <t>2026-07-13</t>
        </is>
      </c>
      <c r="B943" t="inlineStr">
        <is>
          <t>S04</t>
        </is>
      </c>
      <c r="C943" t="inlineStr">
        <is>
          <t>shared</t>
        </is>
      </c>
      <c r="D943" t="inlineStr">
        <is>
          <t>Marketing</t>
        </is>
      </c>
      <c r="E943" t="n">
        <v>6</v>
      </c>
      <c r="F943" t="n">
        <v>1</v>
      </c>
      <c r="G943">
        <f>IFERROR(INDEX('01_STAFF'!$F:$F,MATCH(B943,'01_STAFF'!$A:$A,0))*E943,0)</f>
        <v/>
      </c>
    </row>
    <row r="944">
      <c r="A944" t="inlineStr">
        <is>
          <t>2026-07-14</t>
        </is>
      </c>
      <c r="B944" t="inlineStr">
        <is>
          <t>S01</t>
        </is>
      </c>
      <c r="C944" t="inlineStr">
        <is>
          <t>piggery</t>
        </is>
      </c>
      <c r="D944" t="inlineStr">
        <is>
          <t>Feeding</t>
        </is>
      </c>
      <c r="E944" t="n">
        <v>8</v>
      </c>
      <c r="F944" t="n">
        <v>0</v>
      </c>
      <c r="G944">
        <f>IFERROR(INDEX('01_STAFF'!$F:$F,MATCH(B944,'01_STAFF'!$A:$A,0))*E944,0)</f>
        <v/>
      </c>
    </row>
    <row r="945">
      <c r="A945" t="inlineStr">
        <is>
          <t>2026-07-14</t>
        </is>
      </c>
      <c r="B945" t="inlineStr">
        <is>
          <t>S02</t>
        </is>
      </c>
      <c r="C945" t="inlineStr">
        <is>
          <t>poultry</t>
        </is>
      </c>
      <c r="D945" t="inlineStr">
        <is>
          <t>Weighing</t>
        </is>
      </c>
      <c r="E945" t="n">
        <v>8</v>
      </c>
      <c r="F945" t="n">
        <v>0</v>
      </c>
      <c r="G945">
        <f>IFERROR(INDEX('01_STAFF'!$F:$F,MATCH(B945,'01_STAFF'!$A:$A,0))*E945,0)</f>
        <v/>
      </c>
    </row>
    <row r="946">
      <c r="A946" t="inlineStr">
        <is>
          <t>2026-07-14</t>
        </is>
      </c>
      <c r="B946" t="inlineStr">
        <is>
          <t>S03</t>
        </is>
      </c>
      <c r="C946" t="inlineStr">
        <is>
          <t>crops</t>
        </is>
      </c>
      <c r="D946" t="inlineStr">
        <is>
          <t>Land prep</t>
        </is>
      </c>
      <c r="E946" t="n">
        <v>8</v>
      </c>
      <c r="F946" t="n">
        <v>0</v>
      </c>
      <c r="G946">
        <f>IFERROR(INDEX('01_STAFF'!$F:$F,MATCH(B946,'01_STAFF'!$A:$A,0))*E946,0)</f>
        <v/>
      </c>
    </row>
    <row r="947">
      <c r="A947" t="inlineStr">
        <is>
          <t>2026-07-14</t>
        </is>
      </c>
      <c r="B947" t="inlineStr">
        <is>
          <t>S04</t>
        </is>
      </c>
      <c r="C947" t="inlineStr">
        <is>
          <t>shared</t>
        </is>
      </c>
      <c r="D947" t="inlineStr">
        <is>
          <t>Marketing</t>
        </is>
      </c>
      <c r="E947" t="n">
        <v>7</v>
      </c>
      <c r="F947" t="n">
        <v>0</v>
      </c>
      <c r="G947">
        <f>IFERROR(INDEX('01_STAFF'!$F:$F,MATCH(B947,'01_STAFF'!$A:$A,0))*E947,0)</f>
        <v/>
      </c>
    </row>
    <row r="948">
      <c r="A948" t="inlineStr">
        <is>
          <t>2026-07-15</t>
        </is>
      </c>
      <c r="B948" t="inlineStr">
        <is>
          <t>S01</t>
        </is>
      </c>
      <c r="C948" t="inlineStr">
        <is>
          <t>piggery</t>
        </is>
      </c>
      <c r="D948" t="inlineStr">
        <is>
          <t>Feeding</t>
        </is>
      </c>
      <c r="E948" t="n">
        <v>8</v>
      </c>
      <c r="F948" t="n">
        <v>0</v>
      </c>
      <c r="G948">
        <f>IFERROR(INDEX('01_STAFF'!$F:$F,MATCH(B948,'01_STAFF'!$A:$A,0))*E948,0)</f>
        <v/>
      </c>
    </row>
    <row r="949">
      <c r="A949" t="inlineStr">
        <is>
          <t>2026-07-15</t>
        </is>
      </c>
      <c r="B949" t="inlineStr">
        <is>
          <t>S03</t>
        </is>
      </c>
      <c r="C949" t="inlineStr">
        <is>
          <t>crops</t>
        </is>
      </c>
      <c r="D949" t="inlineStr">
        <is>
          <t>Spraying</t>
        </is>
      </c>
      <c r="E949" t="n">
        <v>8</v>
      </c>
      <c r="F949" t="n">
        <v>0</v>
      </c>
      <c r="G949">
        <f>IFERROR(INDEX('01_STAFF'!$F:$F,MATCH(B949,'01_STAFF'!$A:$A,0))*E949,0)</f>
        <v/>
      </c>
    </row>
    <row r="950">
      <c r="A950" t="inlineStr">
        <is>
          <t>2026-07-15</t>
        </is>
      </c>
      <c r="B950" t="inlineStr">
        <is>
          <t>S04</t>
        </is>
      </c>
      <c r="C950" t="inlineStr">
        <is>
          <t>shared</t>
        </is>
      </c>
      <c r="D950" t="inlineStr">
        <is>
          <t>Marketing</t>
        </is>
      </c>
      <c r="E950" t="n">
        <v>6</v>
      </c>
      <c r="F950" t="n">
        <v>0</v>
      </c>
      <c r="G950">
        <f>IFERROR(INDEX('01_STAFF'!$F:$F,MATCH(B950,'01_STAFF'!$A:$A,0))*E950,0)</f>
        <v/>
      </c>
    </row>
    <row r="951">
      <c r="A951" t="inlineStr">
        <is>
          <t>2026-07-16</t>
        </is>
      </c>
      <c r="B951" t="inlineStr">
        <is>
          <t>S02</t>
        </is>
      </c>
      <c r="C951" t="inlineStr">
        <is>
          <t>poultry</t>
        </is>
      </c>
      <c r="D951" t="inlineStr">
        <is>
          <t>Vaccination</t>
        </is>
      </c>
      <c r="E951" t="n">
        <v>8</v>
      </c>
      <c r="F951" t="n">
        <v>0</v>
      </c>
      <c r="G951">
        <f>IFERROR(INDEX('01_STAFF'!$F:$F,MATCH(B951,'01_STAFF'!$A:$A,0))*E951,0)</f>
        <v/>
      </c>
    </row>
    <row r="952">
      <c r="A952" t="inlineStr">
        <is>
          <t>2026-07-16</t>
        </is>
      </c>
      <c r="B952" t="inlineStr">
        <is>
          <t>S03</t>
        </is>
      </c>
      <c r="C952" t="inlineStr">
        <is>
          <t>crops</t>
        </is>
      </c>
      <c r="D952" t="inlineStr">
        <is>
          <t>Weeding</t>
        </is>
      </c>
      <c r="E952" t="n">
        <v>8</v>
      </c>
      <c r="F952" t="n">
        <v>0</v>
      </c>
      <c r="G952">
        <f>IFERROR(INDEX('01_STAFF'!$F:$F,MATCH(B952,'01_STAFF'!$A:$A,0))*E952,0)</f>
        <v/>
      </c>
    </row>
    <row r="953">
      <c r="A953" t="inlineStr">
        <is>
          <t>2026-07-17</t>
        </is>
      </c>
      <c r="B953" t="inlineStr">
        <is>
          <t>S01</t>
        </is>
      </c>
      <c r="C953" t="inlineStr">
        <is>
          <t>piggery</t>
        </is>
      </c>
      <c r="D953" t="inlineStr">
        <is>
          <t>Cleaning</t>
        </is>
      </c>
      <c r="E953" t="n">
        <v>8</v>
      </c>
      <c r="F953" t="n">
        <v>0</v>
      </c>
      <c r="G953">
        <f>IFERROR(INDEX('01_STAFF'!$F:$F,MATCH(B953,'01_STAFF'!$A:$A,0))*E953,0)</f>
        <v/>
      </c>
    </row>
    <row r="954">
      <c r="A954" t="inlineStr">
        <is>
          <t>2026-07-17</t>
        </is>
      </c>
      <c r="B954" t="inlineStr">
        <is>
          <t>S02</t>
        </is>
      </c>
      <c r="C954" t="inlineStr">
        <is>
          <t>poultry</t>
        </is>
      </c>
      <c r="D954" t="inlineStr">
        <is>
          <t>Vaccination</t>
        </is>
      </c>
      <c r="E954" t="n">
        <v>8</v>
      </c>
      <c r="F954" t="n">
        <v>0</v>
      </c>
      <c r="G954">
        <f>IFERROR(INDEX('01_STAFF'!$F:$F,MATCH(B954,'01_STAFF'!$A:$A,0))*E954,0)</f>
        <v/>
      </c>
    </row>
    <row r="955">
      <c r="A955" t="inlineStr">
        <is>
          <t>2026-07-17</t>
        </is>
      </c>
      <c r="B955" t="inlineStr">
        <is>
          <t>S03</t>
        </is>
      </c>
      <c r="C955" t="inlineStr">
        <is>
          <t>crops</t>
        </is>
      </c>
      <c r="D955" t="inlineStr">
        <is>
          <t>Weeding</t>
        </is>
      </c>
      <c r="E955" t="n">
        <v>8</v>
      </c>
      <c r="F955" t="n">
        <v>0</v>
      </c>
      <c r="G955">
        <f>IFERROR(INDEX('01_STAFF'!$F:$F,MATCH(B955,'01_STAFF'!$A:$A,0))*E955,0)</f>
        <v/>
      </c>
    </row>
    <row r="956">
      <c r="A956" t="inlineStr">
        <is>
          <t>2026-07-17</t>
        </is>
      </c>
      <c r="B956" t="inlineStr">
        <is>
          <t>S04</t>
        </is>
      </c>
      <c r="C956" t="inlineStr">
        <is>
          <t>shared</t>
        </is>
      </c>
      <c r="D956" t="inlineStr">
        <is>
          <t>Weighing</t>
        </is>
      </c>
      <c r="E956" t="n">
        <v>7</v>
      </c>
      <c r="F956" t="n">
        <v>0</v>
      </c>
      <c r="G956">
        <f>IFERROR(INDEX('01_STAFF'!$F:$F,MATCH(B956,'01_STAFF'!$A:$A,0))*E956,0)</f>
        <v/>
      </c>
    </row>
    <row r="957">
      <c r="A957" t="inlineStr">
        <is>
          <t>2026-07-18</t>
        </is>
      </c>
      <c r="B957" t="inlineStr">
        <is>
          <t>S01</t>
        </is>
      </c>
      <c r="C957" t="inlineStr">
        <is>
          <t>piggery</t>
        </is>
      </c>
      <c r="D957" t="inlineStr">
        <is>
          <t>Feeding</t>
        </is>
      </c>
      <c r="E957" t="n">
        <v>8</v>
      </c>
      <c r="F957" t="n">
        <v>0</v>
      </c>
      <c r="G957">
        <f>IFERROR(INDEX('01_STAFF'!$F:$F,MATCH(B957,'01_STAFF'!$A:$A,0))*E957,0)</f>
        <v/>
      </c>
    </row>
    <row r="958">
      <c r="A958" t="inlineStr">
        <is>
          <t>2026-07-18</t>
        </is>
      </c>
      <c r="B958" t="inlineStr">
        <is>
          <t>S02</t>
        </is>
      </c>
      <c r="C958" t="inlineStr">
        <is>
          <t>poultry</t>
        </is>
      </c>
      <c r="D958" t="inlineStr">
        <is>
          <t>Feeding</t>
        </is>
      </c>
      <c r="E958" t="n">
        <v>8</v>
      </c>
      <c r="F958" t="n">
        <v>0</v>
      </c>
      <c r="G958">
        <f>IFERROR(INDEX('01_STAFF'!$F:$F,MATCH(B958,'01_STAFF'!$A:$A,0))*E958,0)</f>
        <v/>
      </c>
    </row>
    <row r="959">
      <c r="A959" t="inlineStr">
        <is>
          <t>2026-07-18</t>
        </is>
      </c>
      <c r="B959" t="inlineStr">
        <is>
          <t>S03</t>
        </is>
      </c>
      <c r="C959" t="inlineStr">
        <is>
          <t>crops</t>
        </is>
      </c>
      <c r="D959" t="inlineStr">
        <is>
          <t>Land prep</t>
        </is>
      </c>
      <c r="E959" t="n">
        <v>8</v>
      </c>
      <c r="F959" t="n">
        <v>0</v>
      </c>
      <c r="G959">
        <f>IFERROR(INDEX('01_STAFF'!$F:$F,MATCH(B959,'01_STAFF'!$A:$A,0))*E959,0)</f>
        <v/>
      </c>
    </row>
    <row r="960">
      <c r="A960" t="inlineStr">
        <is>
          <t>2026-07-20</t>
        </is>
      </c>
      <c r="B960" t="inlineStr">
        <is>
          <t>S01</t>
        </is>
      </c>
      <c r="C960" t="inlineStr">
        <is>
          <t>piggery</t>
        </is>
      </c>
      <c r="D960" t="inlineStr">
        <is>
          <t>Cleaning</t>
        </is>
      </c>
      <c r="E960" t="n">
        <v>8</v>
      </c>
      <c r="F960" t="n">
        <v>0</v>
      </c>
      <c r="G960">
        <f>IFERROR(INDEX('01_STAFF'!$F:$F,MATCH(B960,'01_STAFF'!$A:$A,0))*E960,0)</f>
        <v/>
      </c>
    </row>
    <row r="961">
      <c r="A961" t="inlineStr">
        <is>
          <t>2026-07-20</t>
        </is>
      </c>
      <c r="B961" t="inlineStr">
        <is>
          <t>S03</t>
        </is>
      </c>
      <c r="C961" t="inlineStr">
        <is>
          <t>crops</t>
        </is>
      </c>
      <c r="D961" t="inlineStr">
        <is>
          <t>Weeding</t>
        </is>
      </c>
      <c r="E961" t="n">
        <v>8</v>
      </c>
      <c r="F961" t="n">
        <v>0</v>
      </c>
      <c r="G961">
        <f>IFERROR(INDEX('01_STAFF'!$F:$F,MATCH(B961,'01_STAFF'!$A:$A,0))*E961,0)</f>
        <v/>
      </c>
    </row>
    <row r="962">
      <c r="A962" t="inlineStr">
        <is>
          <t>2026-07-21</t>
        </is>
      </c>
      <c r="B962" t="inlineStr">
        <is>
          <t>S01</t>
        </is>
      </c>
      <c r="C962" t="inlineStr">
        <is>
          <t>piggery</t>
        </is>
      </c>
      <c r="D962" t="inlineStr">
        <is>
          <t>Feeding</t>
        </is>
      </c>
      <c r="E962" t="n">
        <v>8</v>
      </c>
      <c r="F962" t="n">
        <v>0</v>
      </c>
      <c r="G962">
        <f>IFERROR(INDEX('01_STAFF'!$F:$F,MATCH(B962,'01_STAFF'!$A:$A,0))*E962,0)</f>
        <v/>
      </c>
    </row>
    <row r="963">
      <c r="A963" t="inlineStr">
        <is>
          <t>2026-07-21</t>
        </is>
      </c>
      <c r="B963" t="inlineStr">
        <is>
          <t>S02</t>
        </is>
      </c>
      <c r="C963" t="inlineStr">
        <is>
          <t>poultry</t>
        </is>
      </c>
      <c r="D963" t="inlineStr">
        <is>
          <t>Feeding</t>
        </is>
      </c>
      <c r="E963" t="n">
        <v>8</v>
      </c>
      <c r="F963" t="n">
        <v>0</v>
      </c>
      <c r="G963">
        <f>IFERROR(INDEX('01_STAFF'!$F:$F,MATCH(B963,'01_STAFF'!$A:$A,0))*E963,0)</f>
        <v/>
      </c>
    </row>
    <row r="964">
      <c r="A964" t="inlineStr">
        <is>
          <t>2026-07-21</t>
        </is>
      </c>
      <c r="B964" t="inlineStr">
        <is>
          <t>S04</t>
        </is>
      </c>
      <c r="C964" t="inlineStr">
        <is>
          <t>shared</t>
        </is>
      </c>
      <c r="D964" t="inlineStr">
        <is>
          <t>Marketing</t>
        </is>
      </c>
      <c r="E964" t="n">
        <v>7</v>
      </c>
      <c r="F964" t="n">
        <v>0</v>
      </c>
      <c r="G964">
        <f>IFERROR(INDEX('01_STAFF'!$F:$F,MATCH(B964,'01_STAFF'!$A:$A,0))*E964,0)</f>
        <v/>
      </c>
    </row>
    <row r="965">
      <c r="A965" t="inlineStr">
        <is>
          <t>2026-07-22</t>
        </is>
      </c>
      <c r="B965" t="inlineStr">
        <is>
          <t>S01</t>
        </is>
      </c>
      <c r="C965" t="inlineStr">
        <is>
          <t>piggery</t>
        </is>
      </c>
      <c r="D965" t="inlineStr">
        <is>
          <t>Feeding</t>
        </is>
      </c>
      <c r="E965" t="n">
        <v>8</v>
      </c>
      <c r="F965" t="n">
        <v>1</v>
      </c>
      <c r="G965">
        <f>IFERROR(INDEX('01_STAFF'!$F:$F,MATCH(B965,'01_STAFF'!$A:$A,0))*E965,0)</f>
        <v/>
      </c>
    </row>
    <row r="966">
      <c r="A966" t="inlineStr">
        <is>
          <t>2026-07-22</t>
        </is>
      </c>
      <c r="B966" t="inlineStr">
        <is>
          <t>S04</t>
        </is>
      </c>
      <c r="C966" t="inlineStr">
        <is>
          <t>shared</t>
        </is>
      </c>
      <c r="D966" t="inlineStr">
        <is>
          <t>Maintenance</t>
        </is>
      </c>
      <c r="E966" t="n">
        <v>5</v>
      </c>
      <c r="F966" t="n">
        <v>0</v>
      </c>
      <c r="G966">
        <f>IFERROR(INDEX('01_STAFF'!$F:$F,MATCH(B966,'01_STAFF'!$A:$A,0))*E966,0)</f>
        <v/>
      </c>
    </row>
    <row r="967">
      <c r="A967" t="inlineStr">
        <is>
          <t>2026-07-23</t>
        </is>
      </c>
      <c r="B967" t="inlineStr">
        <is>
          <t>S01</t>
        </is>
      </c>
      <c r="C967" t="inlineStr">
        <is>
          <t>piggery</t>
        </is>
      </c>
      <c r="D967" t="inlineStr">
        <is>
          <t>Cleaning</t>
        </is>
      </c>
      <c r="E967" t="n">
        <v>8</v>
      </c>
      <c r="F967" t="n">
        <v>0</v>
      </c>
      <c r="G967">
        <f>IFERROR(INDEX('01_STAFF'!$F:$F,MATCH(B967,'01_STAFF'!$A:$A,0))*E967,0)</f>
        <v/>
      </c>
    </row>
    <row r="968">
      <c r="A968" t="inlineStr">
        <is>
          <t>2026-07-23</t>
        </is>
      </c>
      <c r="B968" t="inlineStr">
        <is>
          <t>S03</t>
        </is>
      </c>
      <c r="C968" t="inlineStr">
        <is>
          <t>crops</t>
        </is>
      </c>
      <c r="D968" t="inlineStr">
        <is>
          <t>Spraying</t>
        </is>
      </c>
      <c r="E968" t="n">
        <v>8</v>
      </c>
      <c r="F968" t="n">
        <v>0</v>
      </c>
      <c r="G968">
        <f>IFERROR(INDEX('01_STAFF'!$F:$F,MATCH(B968,'01_STAFF'!$A:$A,0))*E968,0)</f>
        <v/>
      </c>
    </row>
    <row r="969">
      <c r="A969" t="inlineStr">
        <is>
          <t>2026-07-23</t>
        </is>
      </c>
      <c r="B969" t="inlineStr">
        <is>
          <t>S04</t>
        </is>
      </c>
      <c r="C969" t="inlineStr">
        <is>
          <t>shared</t>
        </is>
      </c>
      <c r="D969" t="inlineStr">
        <is>
          <t>Marketing</t>
        </is>
      </c>
      <c r="E969" t="n">
        <v>7</v>
      </c>
      <c r="F969" t="n">
        <v>0</v>
      </c>
      <c r="G969">
        <f>IFERROR(INDEX('01_STAFF'!$F:$F,MATCH(B969,'01_STAFF'!$A:$A,0))*E969,0)</f>
        <v/>
      </c>
    </row>
    <row r="970">
      <c r="A970" t="inlineStr">
        <is>
          <t>2026-07-24</t>
        </is>
      </c>
      <c r="B970" t="inlineStr">
        <is>
          <t>S01</t>
        </is>
      </c>
      <c r="C970" t="inlineStr">
        <is>
          <t>piggery</t>
        </is>
      </c>
      <c r="D970" t="inlineStr">
        <is>
          <t>Cleaning</t>
        </is>
      </c>
      <c r="E970" t="n">
        <v>8</v>
      </c>
      <c r="F970" t="n">
        <v>0</v>
      </c>
      <c r="G970">
        <f>IFERROR(INDEX('01_STAFF'!$F:$F,MATCH(B970,'01_STAFF'!$A:$A,0))*E970,0)</f>
        <v/>
      </c>
    </row>
    <row r="971">
      <c r="A971" t="inlineStr">
        <is>
          <t>2026-07-24</t>
        </is>
      </c>
      <c r="B971" t="inlineStr">
        <is>
          <t>S02</t>
        </is>
      </c>
      <c r="C971" t="inlineStr">
        <is>
          <t>poultry</t>
        </is>
      </c>
      <c r="D971" t="inlineStr">
        <is>
          <t>Cleaning</t>
        </is>
      </c>
      <c r="E971" t="n">
        <v>8</v>
      </c>
      <c r="F971" t="n">
        <v>1</v>
      </c>
      <c r="G971">
        <f>IFERROR(INDEX('01_STAFF'!$F:$F,MATCH(B971,'01_STAFF'!$A:$A,0))*E971,0)</f>
        <v/>
      </c>
    </row>
    <row r="972">
      <c r="A972" t="inlineStr">
        <is>
          <t>2026-07-24</t>
        </is>
      </c>
      <c r="B972" t="inlineStr">
        <is>
          <t>S03</t>
        </is>
      </c>
      <c r="C972" t="inlineStr">
        <is>
          <t>crops</t>
        </is>
      </c>
      <c r="D972" t="inlineStr">
        <is>
          <t>Land prep</t>
        </is>
      </c>
      <c r="E972" t="n">
        <v>8</v>
      </c>
      <c r="F972" t="n">
        <v>0</v>
      </c>
      <c r="G972">
        <f>IFERROR(INDEX('01_STAFF'!$F:$F,MATCH(B972,'01_STAFF'!$A:$A,0))*E972,0)</f>
        <v/>
      </c>
    </row>
    <row r="973">
      <c r="A973" t="inlineStr">
        <is>
          <t>2026-07-24</t>
        </is>
      </c>
      <c r="B973" t="inlineStr">
        <is>
          <t>S04</t>
        </is>
      </c>
      <c r="C973" t="inlineStr">
        <is>
          <t>shared</t>
        </is>
      </c>
      <c r="D973" t="inlineStr">
        <is>
          <t>Maintenance</t>
        </is>
      </c>
      <c r="E973" t="n">
        <v>6</v>
      </c>
      <c r="F973" t="n">
        <v>0</v>
      </c>
      <c r="G973">
        <f>IFERROR(INDEX('01_STAFF'!$F:$F,MATCH(B973,'01_STAFF'!$A:$A,0))*E973,0)</f>
        <v/>
      </c>
    </row>
    <row r="974">
      <c r="A974" t="inlineStr">
        <is>
          <t>2026-07-25</t>
        </is>
      </c>
      <c r="B974" t="inlineStr">
        <is>
          <t>S01</t>
        </is>
      </c>
      <c r="C974" t="inlineStr">
        <is>
          <t>piggery</t>
        </is>
      </c>
      <c r="D974" t="inlineStr">
        <is>
          <t>Feeding</t>
        </is>
      </c>
      <c r="E974" t="n">
        <v>8</v>
      </c>
      <c r="F974" t="n">
        <v>1</v>
      </c>
      <c r="G974">
        <f>IFERROR(INDEX('01_STAFF'!$F:$F,MATCH(B974,'01_STAFF'!$A:$A,0))*E974,0)</f>
        <v/>
      </c>
    </row>
    <row r="975">
      <c r="A975" t="inlineStr">
        <is>
          <t>2026-07-25</t>
        </is>
      </c>
      <c r="B975" t="inlineStr">
        <is>
          <t>S02</t>
        </is>
      </c>
      <c r="C975" t="inlineStr">
        <is>
          <t>poultry</t>
        </is>
      </c>
      <c r="D975" t="inlineStr">
        <is>
          <t>Weighing</t>
        </is>
      </c>
      <c r="E975" t="n">
        <v>8</v>
      </c>
      <c r="F975" t="n">
        <v>0</v>
      </c>
      <c r="G975">
        <f>IFERROR(INDEX('01_STAFF'!$F:$F,MATCH(B975,'01_STAFF'!$A:$A,0))*E975,0)</f>
        <v/>
      </c>
    </row>
    <row r="976">
      <c r="A976" t="inlineStr">
        <is>
          <t>2026-07-25</t>
        </is>
      </c>
      <c r="B976" t="inlineStr">
        <is>
          <t>S03</t>
        </is>
      </c>
      <c r="C976" t="inlineStr">
        <is>
          <t>crops</t>
        </is>
      </c>
      <c r="D976" t="inlineStr">
        <is>
          <t>Land prep</t>
        </is>
      </c>
      <c r="E976" t="n">
        <v>8</v>
      </c>
      <c r="F976" t="n">
        <v>0</v>
      </c>
      <c r="G976">
        <f>IFERROR(INDEX('01_STAFF'!$F:$F,MATCH(B976,'01_STAFF'!$A:$A,0))*E976,0)</f>
        <v/>
      </c>
    </row>
    <row r="977">
      <c r="A977" t="inlineStr">
        <is>
          <t>2026-07-25</t>
        </is>
      </c>
      <c r="B977" t="inlineStr">
        <is>
          <t>S04</t>
        </is>
      </c>
      <c r="C977" t="inlineStr">
        <is>
          <t>shared</t>
        </is>
      </c>
      <c r="D977" t="inlineStr">
        <is>
          <t>Marketing</t>
        </is>
      </c>
      <c r="E977" t="n">
        <v>5</v>
      </c>
      <c r="F977" t="n">
        <v>1</v>
      </c>
      <c r="G977">
        <f>IFERROR(INDEX('01_STAFF'!$F:$F,MATCH(B977,'01_STAFF'!$A:$A,0))*E977,0)</f>
        <v/>
      </c>
    </row>
    <row r="978">
      <c r="A978" t="inlineStr">
        <is>
          <t>2026-07-27</t>
        </is>
      </c>
      <c r="B978" t="inlineStr">
        <is>
          <t>S01</t>
        </is>
      </c>
      <c r="C978" t="inlineStr">
        <is>
          <t>piggery</t>
        </is>
      </c>
      <c r="D978" t="inlineStr">
        <is>
          <t>Vaccination</t>
        </is>
      </c>
      <c r="E978" t="n">
        <v>8</v>
      </c>
      <c r="F978" t="n">
        <v>0</v>
      </c>
      <c r="G978">
        <f>IFERROR(INDEX('01_STAFF'!$F:$F,MATCH(B978,'01_STAFF'!$A:$A,0))*E978,0)</f>
        <v/>
      </c>
    </row>
    <row r="979">
      <c r="A979" t="inlineStr">
        <is>
          <t>2026-07-27</t>
        </is>
      </c>
      <c r="B979" t="inlineStr">
        <is>
          <t>S02</t>
        </is>
      </c>
      <c r="C979" t="inlineStr">
        <is>
          <t>poultry</t>
        </is>
      </c>
      <c r="D979" t="inlineStr">
        <is>
          <t>Cleaning</t>
        </is>
      </c>
      <c r="E979" t="n">
        <v>8</v>
      </c>
      <c r="F979" t="n">
        <v>0</v>
      </c>
      <c r="G979">
        <f>IFERROR(INDEX('01_STAFF'!$F:$F,MATCH(B979,'01_STAFF'!$A:$A,0))*E979,0)</f>
        <v/>
      </c>
    </row>
    <row r="980">
      <c r="A980" t="inlineStr">
        <is>
          <t>2026-07-27</t>
        </is>
      </c>
      <c r="B980" t="inlineStr">
        <is>
          <t>S03</t>
        </is>
      </c>
      <c r="C980" t="inlineStr">
        <is>
          <t>crops</t>
        </is>
      </c>
      <c r="D980" t="inlineStr">
        <is>
          <t>Spraying</t>
        </is>
      </c>
      <c r="E980" t="n">
        <v>8</v>
      </c>
      <c r="F980" t="n">
        <v>0</v>
      </c>
      <c r="G980">
        <f>IFERROR(INDEX('01_STAFF'!$F:$F,MATCH(B980,'01_STAFF'!$A:$A,0))*E980,0)</f>
        <v/>
      </c>
    </row>
    <row r="981">
      <c r="A981" t="inlineStr">
        <is>
          <t>2026-07-27</t>
        </is>
      </c>
      <c r="B981" t="inlineStr">
        <is>
          <t>S04</t>
        </is>
      </c>
      <c r="C981" t="inlineStr">
        <is>
          <t>shared</t>
        </is>
      </c>
      <c r="D981" t="inlineStr">
        <is>
          <t>Maintenance</t>
        </is>
      </c>
      <c r="E981" t="n">
        <v>6</v>
      </c>
      <c r="F981" t="n">
        <v>0</v>
      </c>
      <c r="G981">
        <f>IFERROR(INDEX('01_STAFF'!$F:$F,MATCH(B981,'01_STAFF'!$A:$A,0))*E981,0)</f>
        <v/>
      </c>
    </row>
    <row r="982">
      <c r="A982" t="inlineStr">
        <is>
          <t>2026-07-28</t>
        </is>
      </c>
      <c r="B982" t="inlineStr">
        <is>
          <t>S01</t>
        </is>
      </c>
      <c r="C982" t="inlineStr">
        <is>
          <t>piggery</t>
        </is>
      </c>
      <c r="D982" t="inlineStr">
        <is>
          <t>Vaccination</t>
        </is>
      </c>
      <c r="E982" t="n">
        <v>8</v>
      </c>
      <c r="F982" t="n">
        <v>0</v>
      </c>
      <c r="G982">
        <f>IFERROR(INDEX('01_STAFF'!$F:$F,MATCH(B982,'01_STAFF'!$A:$A,0))*E982,0)</f>
        <v/>
      </c>
    </row>
    <row r="983">
      <c r="A983" t="inlineStr">
        <is>
          <t>2026-07-28</t>
        </is>
      </c>
      <c r="B983" t="inlineStr">
        <is>
          <t>S02</t>
        </is>
      </c>
      <c r="C983" t="inlineStr">
        <is>
          <t>poultry</t>
        </is>
      </c>
      <c r="D983" t="inlineStr">
        <is>
          <t>Feeding</t>
        </is>
      </c>
      <c r="E983" t="n">
        <v>8</v>
      </c>
      <c r="F983" t="n">
        <v>0</v>
      </c>
      <c r="G983">
        <f>IFERROR(INDEX('01_STAFF'!$F:$F,MATCH(B983,'01_STAFF'!$A:$A,0))*E983,0)</f>
        <v/>
      </c>
    </row>
    <row r="984">
      <c r="A984" t="inlineStr">
        <is>
          <t>2026-07-28</t>
        </is>
      </c>
      <c r="B984" t="inlineStr">
        <is>
          <t>S03</t>
        </is>
      </c>
      <c r="C984" t="inlineStr">
        <is>
          <t>crops</t>
        </is>
      </c>
      <c r="D984" t="inlineStr">
        <is>
          <t>Land prep</t>
        </is>
      </c>
      <c r="E984" t="n">
        <v>8</v>
      </c>
      <c r="F984" t="n">
        <v>0</v>
      </c>
      <c r="G984">
        <f>IFERROR(INDEX('01_STAFF'!$F:$F,MATCH(B984,'01_STAFF'!$A:$A,0))*E984,0)</f>
        <v/>
      </c>
    </row>
    <row r="985">
      <c r="A985" t="inlineStr">
        <is>
          <t>2026-07-28</t>
        </is>
      </c>
      <c r="B985" t="inlineStr">
        <is>
          <t>S04</t>
        </is>
      </c>
      <c r="C985" t="inlineStr">
        <is>
          <t>shared</t>
        </is>
      </c>
      <c r="D985" t="inlineStr">
        <is>
          <t>Marketing</t>
        </is>
      </c>
      <c r="E985" t="n">
        <v>6</v>
      </c>
      <c r="F985" t="n">
        <v>1</v>
      </c>
      <c r="G985">
        <f>IFERROR(INDEX('01_STAFF'!$F:$F,MATCH(B985,'01_STAFF'!$A:$A,0))*E985,0)</f>
        <v/>
      </c>
    </row>
    <row r="986">
      <c r="A986" t="inlineStr">
        <is>
          <t>2026-07-29</t>
        </is>
      </c>
      <c r="B986" t="inlineStr">
        <is>
          <t>S01</t>
        </is>
      </c>
      <c r="C986" t="inlineStr">
        <is>
          <t>piggery</t>
        </is>
      </c>
      <c r="D986" t="inlineStr">
        <is>
          <t>Weighing</t>
        </is>
      </c>
      <c r="E986" t="n">
        <v>8</v>
      </c>
      <c r="F986" t="n">
        <v>0</v>
      </c>
      <c r="G986">
        <f>IFERROR(INDEX('01_STAFF'!$F:$F,MATCH(B986,'01_STAFF'!$A:$A,0))*E986,0)</f>
        <v/>
      </c>
    </row>
    <row r="987">
      <c r="A987" t="inlineStr">
        <is>
          <t>2026-07-29</t>
        </is>
      </c>
      <c r="B987" t="inlineStr">
        <is>
          <t>S02</t>
        </is>
      </c>
      <c r="C987" t="inlineStr">
        <is>
          <t>poultry</t>
        </is>
      </c>
      <c r="D987" t="inlineStr">
        <is>
          <t>Feeding</t>
        </is>
      </c>
      <c r="E987" t="n">
        <v>8</v>
      </c>
      <c r="F987" t="n">
        <v>0</v>
      </c>
      <c r="G987">
        <f>IFERROR(INDEX('01_STAFF'!$F:$F,MATCH(B987,'01_STAFF'!$A:$A,0))*E987,0)</f>
        <v/>
      </c>
    </row>
    <row r="988">
      <c r="A988" t="inlineStr">
        <is>
          <t>2026-07-29</t>
        </is>
      </c>
      <c r="B988" t="inlineStr">
        <is>
          <t>S03</t>
        </is>
      </c>
      <c r="C988" t="inlineStr">
        <is>
          <t>crops</t>
        </is>
      </c>
      <c r="D988" t="inlineStr">
        <is>
          <t>Harvest</t>
        </is>
      </c>
      <c r="E988" t="n">
        <v>8</v>
      </c>
      <c r="F988" t="n">
        <v>0</v>
      </c>
      <c r="G988">
        <f>IFERROR(INDEX('01_STAFF'!$F:$F,MATCH(B988,'01_STAFF'!$A:$A,0))*E988,0)</f>
        <v/>
      </c>
    </row>
    <row r="989">
      <c r="A989" t="inlineStr">
        <is>
          <t>2026-07-29</t>
        </is>
      </c>
      <c r="B989" t="inlineStr">
        <is>
          <t>S04</t>
        </is>
      </c>
      <c r="C989" t="inlineStr">
        <is>
          <t>shared</t>
        </is>
      </c>
      <c r="D989" t="inlineStr">
        <is>
          <t>Vaccination</t>
        </is>
      </c>
      <c r="E989" t="n">
        <v>6</v>
      </c>
      <c r="F989" t="n">
        <v>0</v>
      </c>
      <c r="G989">
        <f>IFERROR(INDEX('01_STAFF'!$F:$F,MATCH(B989,'01_STAFF'!$A:$A,0))*E989,0)</f>
        <v/>
      </c>
    </row>
    <row r="990">
      <c r="A990" t="inlineStr">
        <is>
          <t>2026-07-30</t>
        </is>
      </c>
      <c r="B990" t="inlineStr">
        <is>
          <t>S02</t>
        </is>
      </c>
      <c r="C990" t="inlineStr">
        <is>
          <t>poultry</t>
        </is>
      </c>
      <c r="D990" t="inlineStr">
        <is>
          <t>Vaccination</t>
        </is>
      </c>
      <c r="E990" t="n">
        <v>8</v>
      </c>
      <c r="F990" t="n">
        <v>0</v>
      </c>
      <c r="G990">
        <f>IFERROR(INDEX('01_STAFF'!$F:$F,MATCH(B990,'01_STAFF'!$A:$A,0))*E990,0)</f>
        <v/>
      </c>
    </row>
    <row r="991">
      <c r="A991" t="inlineStr">
        <is>
          <t>2026-07-30</t>
        </is>
      </c>
      <c r="B991" t="inlineStr">
        <is>
          <t>S03</t>
        </is>
      </c>
      <c r="C991" t="inlineStr">
        <is>
          <t>crops</t>
        </is>
      </c>
      <c r="D991" t="inlineStr">
        <is>
          <t>Land prep</t>
        </is>
      </c>
      <c r="E991" t="n">
        <v>8</v>
      </c>
      <c r="F991" t="n">
        <v>0</v>
      </c>
      <c r="G991">
        <f>IFERROR(INDEX('01_STAFF'!$F:$F,MATCH(B991,'01_STAFF'!$A:$A,0))*E991,0)</f>
        <v/>
      </c>
    </row>
    <row r="992">
      <c r="A992" t="inlineStr">
        <is>
          <t>2026-07-30</t>
        </is>
      </c>
      <c r="B992" t="inlineStr">
        <is>
          <t>S04</t>
        </is>
      </c>
      <c r="C992" t="inlineStr">
        <is>
          <t>shared</t>
        </is>
      </c>
      <c r="D992" t="inlineStr">
        <is>
          <t>Vaccination</t>
        </is>
      </c>
      <c r="E992" t="n">
        <v>5</v>
      </c>
      <c r="F992" t="n">
        <v>0</v>
      </c>
      <c r="G992">
        <f>IFERROR(INDEX('01_STAFF'!$F:$F,MATCH(B992,'01_STAFF'!$A:$A,0))*E992,0)</f>
        <v/>
      </c>
    </row>
    <row r="993">
      <c r="A993" t="inlineStr">
        <is>
          <t>2026-07-31</t>
        </is>
      </c>
      <c r="B993" t="inlineStr">
        <is>
          <t>S01</t>
        </is>
      </c>
      <c r="C993" t="inlineStr">
        <is>
          <t>piggery</t>
        </is>
      </c>
      <c r="D993" t="inlineStr">
        <is>
          <t>Cleaning</t>
        </is>
      </c>
      <c r="E993" t="n">
        <v>8</v>
      </c>
      <c r="F993" t="n">
        <v>0</v>
      </c>
      <c r="G993">
        <f>IFERROR(INDEX('01_STAFF'!$F:$F,MATCH(B993,'01_STAFF'!$A:$A,0))*E993,0)</f>
        <v/>
      </c>
    </row>
    <row r="994">
      <c r="A994" t="inlineStr">
        <is>
          <t>2026-07-31</t>
        </is>
      </c>
      <c r="B994" t="inlineStr">
        <is>
          <t>S02</t>
        </is>
      </c>
      <c r="C994" t="inlineStr">
        <is>
          <t>poultry</t>
        </is>
      </c>
      <c r="D994" t="inlineStr">
        <is>
          <t>Cleaning</t>
        </is>
      </c>
      <c r="E994" t="n">
        <v>8</v>
      </c>
      <c r="F994" t="n">
        <v>0</v>
      </c>
      <c r="G994">
        <f>IFERROR(INDEX('01_STAFF'!$F:$F,MATCH(B994,'01_STAFF'!$A:$A,0))*E994,0)</f>
        <v/>
      </c>
    </row>
    <row r="995">
      <c r="A995" t="inlineStr">
        <is>
          <t>2026-07-31</t>
        </is>
      </c>
      <c r="B995" t="inlineStr">
        <is>
          <t>S03</t>
        </is>
      </c>
      <c r="C995" t="inlineStr">
        <is>
          <t>crops</t>
        </is>
      </c>
      <c r="D995" t="inlineStr">
        <is>
          <t>Spraying</t>
        </is>
      </c>
      <c r="E995" t="n">
        <v>8</v>
      </c>
      <c r="F995" t="n">
        <v>0</v>
      </c>
      <c r="G995">
        <f>IFERROR(INDEX('01_STAFF'!$F:$F,MATCH(B995,'01_STAFF'!$A:$A,0))*E995,0)</f>
        <v/>
      </c>
    </row>
    <row r="996">
      <c r="A996" t="inlineStr">
        <is>
          <t>2026-07-31</t>
        </is>
      </c>
      <c r="B996" t="inlineStr">
        <is>
          <t>S04</t>
        </is>
      </c>
      <c r="C996" t="inlineStr">
        <is>
          <t>shared</t>
        </is>
      </c>
      <c r="D996" t="inlineStr">
        <is>
          <t>Maintenance</t>
        </is>
      </c>
      <c r="E996" t="n">
        <v>7</v>
      </c>
      <c r="F996" t="n">
        <v>1</v>
      </c>
      <c r="G996">
        <f>IFERROR(INDEX('01_STAFF'!$F:$F,MATCH(B996,'01_STAFF'!$A:$A,0))*E996,0)</f>
        <v/>
      </c>
    </row>
    <row r="997">
      <c r="A997" t="inlineStr">
        <is>
          <t>2026-08-01</t>
        </is>
      </c>
      <c r="B997" t="inlineStr">
        <is>
          <t>S01</t>
        </is>
      </c>
      <c r="C997" t="inlineStr">
        <is>
          <t>piggery</t>
        </is>
      </c>
      <c r="D997" t="inlineStr">
        <is>
          <t>Cleaning</t>
        </is>
      </c>
      <c r="E997" t="n">
        <v>8</v>
      </c>
      <c r="F997" t="n">
        <v>0</v>
      </c>
      <c r="G997">
        <f>IFERROR(INDEX('01_STAFF'!$F:$F,MATCH(B997,'01_STAFF'!$A:$A,0))*E997,0)</f>
        <v/>
      </c>
    </row>
    <row r="998">
      <c r="A998" t="inlineStr">
        <is>
          <t>2026-08-01</t>
        </is>
      </c>
      <c r="B998" t="inlineStr">
        <is>
          <t>S02</t>
        </is>
      </c>
      <c r="C998" t="inlineStr">
        <is>
          <t>poultry</t>
        </is>
      </c>
      <c r="D998" t="inlineStr">
        <is>
          <t>Cleaning</t>
        </is>
      </c>
      <c r="E998" t="n">
        <v>8</v>
      </c>
      <c r="F998" t="n">
        <v>0</v>
      </c>
      <c r="G998">
        <f>IFERROR(INDEX('01_STAFF'!$F:$F,MATCH(B998,'01_STAFF'!$A:$A,0))*E998,0)</f>
        <v/>
      </c>
    </row>
    <row r="999">
      <c r="A999" t="inlineStr">
        <is>
          <t>2026-08-01</t>
        </is>
      </c>
      <c r="B999" t="inlineStr">
        <is>
          <t>S03</t>
        </is>
      </c>
      <c r="C999" t="inlineStr">
        <is>
          <t>crops</t>
        </is>
      </c>
      <c r="D999" t="inlineStr">
        <is>
          <t>Weeding</t>
        </is>
      </c>
      <c r="E999" t="n">
        <v>8</v>
      </c>
      <c r="F999" t="n">
        <v>0</v>
      </c>
      <c r="G999">
        <f>IFERROR(INDEX('01_STAFF'!$F:$F,MATCH(B999,'01_STAFF'!$A:$A,0))*E999,0)</f>
        <v/>
      </c>
    </row>
    <row r="1000">
      <c r="A1000" t="inlineStr">
        <is>
          <t>2026-08-03</t>
        </is>
      </c>
      <c r="B1000" t="inlineStr">
        <is>
          <t>S01</t>
        </is>
      </c>
      <c r="C1000" t="inlineStr">
        <is>
          <t>piggery</t>
        </is>
      </c>
      <c r="D1000" t="inlineStr">
        <is>
          <t>Cleaning</t>
        </is>
      </c>
      <c r="E1000" t="n">
        <v>8</v>
      </c>
      <c r="F1000" t="n">
        <v>0</v>
      </c>
      <c r="G1000">
        <f>IFERROR(INDEX('01_STAFF'!$F:$F,MATCH(B1000,'01_STAFF'!$A:$A,0))*E1000,0)</f>
        <v/>
      </c>
    </row>
    <row r="1001">
      <c r="A1001" t="inlineStr">
        <is>
          <t>2026-08-03</t>
        </is>
      </c>
      <c r="B1001" t="inlineStr">
        <is>
          <t>S02</t>
        </is>
      </c>
      <c r="C1001" t="inlineStr">
        <is>
          <t>poultry</t>
        </is>
      </c>
      <c r="D1001" t="inlineStr">
        <is>
          <t>Cleaning</t>
        </is>
      </c>
      <c r="E1001" t="n">
        <v>8</v>
      </c>
      <c r="F1001" t="n">
        <v>0</v>
      </c>
      <c r="G1001">
        <f>IFERROR(INDEX('01_STAFF'!$F:$F,MATCH(B1001,'01_STAFF'!$A:$A,0))*E1001,0)</f>
        <v/>
      </c>
    </row>
    <row r="1002">
      <c r="A1002" t="inlineStr">
        <is>
          <t>2026-08-03</t>
        </is>
      </c>
      <c r="B1002" t="inlineStr">
        <is>
          <t>S03</t>
        </is>
      </c>
      <c r="C1002" t="inlineStr">
        <is>
          <t>crops</t>
        </is>
      </c>
      <c r="D1002" t="inlineStr">
        <is>
          <t>Weeding</t>
        </is>
      </c>
      <c r="E1002" t="n">
        <v>8</v>
      </c>
      <c r="F1002" t="n">
        <v>0</v>
      </c>
      <c r="G1002">
        <f>IFERROR(INDEX('01_STAFF'!$F:$F,MATCH(B1002,'01_STAFF'!$A:$A,0))*E1002,0)</f>
        <v/>
      </c>
    </row>
    <row r="1003">
      <c r="A1003" t="inlineStr">
        <is>
          <t>2026-08-03</t>
        </is>
      </c>
      <c r="B1003" t="inlineStr">
        <is>
          <t>S04</t>
        </is>
      </c>
      <c r="C1003" t="inlineStr">
        <is>
          <t>shared</t>
        </is>
      </c>
      <c r="D1003" t="inlineStr">
        <is>
          <t>Maintenance</t>
        </is>
      </c>
      <c r="E1003" t="n">
        <v>7</v>
      </c>
      <c r="F1003" t="n">
        <v>0</v>
      </c>
      <c r="G1003">
        <f>IFERROR(INDEX('01_STAFF'!$F:$F,MATCH(B1003,'01_STAFF'!$A:$A,0))*E1003,0)</f>
        <v/>
      </c>
    </row>
    <row r="1004">
      <c r="A1004" t="inlineStr">
        <is>
          <t>2026-08-04</t>
        </is>
      </c>
      <c r="B1004" t="inlineStr">
        <is>
          <t>S01</t>
        </is>
      </c>
      <c r="C1004" t="inlineStr">
        <is>
          <t>piggery</t>
        </is>
      </c>
      <c r="D1004" t="inlineStr">
        <is>
          <t>Vaccination</t>
        </is>
      </c>
      <c r="E1004" t="n">
        <v>8</v>
      </c>
      <c r="F1004" t="n">
        <v>0</v>
      </c>
      <c r="G1004">
        <f>IFERROR(INDEX('01_STAFF'!$F:$F,MATCH(B1004,'01_STAFF'!$A:$A,0))*E1004,0)</f>
        <v/>
      </c>
    </row>
    <row r="1005">
      <c r="A1005" t="inlineStr">
        <is>
          <t>2026-08-04</t>
        </is>
      </c>
      <c r="B1005" t="inlineStr">
        <is>
          <t>S02</t>
        </is>
      </c>
      <c r="C1005" t="inlineStr">
        <is>
          <t>poultry</t>
        </is>
      </c>
      <c r="D1005" t="inlineStr">
        <is>
          <t>Vaccination</t>
        </is>
      </c>
      <c r="E1005" t="n">
        <v>8</v>
      </c>
      <c r="F1005" t="n">
        <v>0</v>
      </c>
      <c r="G1005">
        <f>IFERROR(INDEX('01_STAFF'!$F:$F,MATCH(B1005,'01_STAFF'!$A:$A,0))*E1005,0)</f>
        <v/>
      </c>
    </row>
    <row r="1006">
      <c r="A1006" t="inlineStr">
        <is>
          <t>2026-08-04</t>
        </is>
      </c>
      <c r="B1006" t="inlineStr">
        <is>
          <t>S03</t>
        </is>
      </c>
      <c r="C1006" t="inlineStr">
        <is>
          <t>crops</t>
        </is>
      </c>
      <c r="D1006" t="inlineStr">
        <is>
          <t>Harvest</t>
        </is>
      </c>
      <c r="E1006" t="n">
        <v>8</v>
      </c>
      <c r="F1006" t="n">
        <v>1</v>
      </c>
      <c r="G1006">
        <f>IFERROR(INDEX('01_STAFF'!$F:$F,MATCH(B1006,'01_STAFF'!$A:$A,0))*E1006,0)</f>
        <v/>
      </c>
    </row>
    <row r="1007">
      <c r="A1007" t="inlineStr">
        <is>
          <t>2026-08-04</t>
        </is>
      </c>
      <c r="B1007" t="inlineStr">
        <is>
          <t>S04</t>
        </is>
      </c>
      <c r="C1007" t="inlineStr">
        <is>
          <t>shared</t>
        </is>
      </c>
      <c r="D1007" t="inlineStr">
        <is>
          <t>Maintenance</t>
        </is>
      </c>
      <c r="E1007" t="n">
        <v>7</v>
      </c>
      <c r="F1007" t="n">
        <v>0</v>
      </c>
      <c r="G1007">
        <f>IFERROR(INDEX('01_STAFF'!$F:$F,MATCH(B1007,'01_STAFF'!$A:$A,0))*E1007,0)</f>
        <v/>
      </c>
    </row>
    <row r="1008">
      <c r="A1008" t="inlineStr">
        <is>
          <t>2026-08-05</t>
        </is>
      </c>
      <c r="B1008" t="inlineStr">
        <is>
          <t>S01</t>
        </is>
      </c>
      <c r="C1008" t="inlineStr">
        <is>
          <t>piggery</t>
        </is>
      </c>
      <c r="D1008" t="inlineStr">
        <is>
          <t>Cleaning</t>
        </is>
      </c>
      <c r="E1008" t="n">
        <v>8</v>
      </c>
      <c r="F1008" t="n">
        <v>0</v>
      </c>
      <c r="G1008">
        <f>IFERROR(INDEX('01_STAFF'!$F:$F,MATCH(B1008,'01_STAFF'!$A:$A,0))*E1008,0)</f>
        <v/>
      </c>
    </row>
    <row r="1009">
      <c r="A1009" t="inlineStr">
        <is>
          <t>2026-08-05</t>
        </is>
      </c>
      <c r="B1009" t="inlineStr">
        <is>
          <t>S02</t>
        </is>
      </c>
      <c r="C1009" t="inlineStr">
        <is>
          <t>poultry</t>
        </is>
      </c>
      <c r="D1009" t="inlineStr">
        <is>
          <t>Vaccination</t>
        </is>
      </c>
      <c r="E1009" t="n">
        <v>8</v>
      </c>
      <c r="F1009" t="n">
        <v>0</v>
      </c>
      <c r="G1009">
        <f>IFERROR(INDEX('01_STAFF'!$F:$F,MATCH(B1009,'01_STAFF'!$A:$A,0))*E1009,0)</f>
        <v/>
      </c>
    </row>
    <row r="1010">
      <c r="A1010" t="inlineStr">
        <is>
          <t>2026-08-05</t>
        </is>
      </c>
      <c r="B1010" t="inlineStr">
        <is>
          <t>S03</t>
        </is>
      </c>
      <c r="C1010" t="inlineStr">
        <is>
          <t>crops</t>
        </is>
      </c>
      <c r="D1010" t="inlineStr">
        <is>
          <t>Harvest</t>
        </is>
      </c>
      <c r="E1010" t="n">
        <v>8</v>
      </c>
      <c r="F1010" t="n">
        <v>0</v>
      </c>
      <c r="G1010">
        <f>IFERROR(INDEX('01_STAFF'!$F:$F,MATCH(B1010,'01_STAFF'!$A:$A,0))*E1010,0)</f>
        <v/>
      </c>
    </row>
    <row r="1011">
      <c r="A1011" t="inlineStr">
        <is>
          <t>2026-08-05</t>
        </is>
      </c>
      <c r="B1011" t="inlineStr">
        <is>
          <t>S04</t>
        </is>
      </c>
      <c r="C1011" t="inlineStr">
        <is>
          <t>shared</t>
        </is>
      </c>
      <c r="D1011" t="inlineStr">
        <is>
          <t>Vaccination</t>
        </is>
      </c>
      <c r="E1011" t="n">
        <v>5</v>
      </c>
      <c r="F1011" t="n">
        <v>0</v>
      </c>
      <c r="G1011">
        <f>IFERROR(INDEX('01_STAFF'!$F:$F,MATCH(B1011,'01_STAFF'!$A:$A,0))*E1011,0)</f>
        <v/>
      </c>
    </row>
    <row r="1012">
      <c r="A1012" t="inlineStr">
        <is>
          <t>2026-08-06</t>
        </is>
      </c>
      <c r="B1012" t="inlineStr">
        <is>
          <t>S01</t>
        </is>
      </c>
      <c r="C1012" t="inlineStr">
        <is>
          <t>piggery</t>
        </is>
      </c>
      <c r="D1012" t="inlineStr">
        <is>
          <t>Cleaning</t>
        </is>
      </c>
      <c r="E1012" t="n">
        <v>8</v>
      </c>
      <c r="F1012" t="n">
        <v>1</v>
      </c>
      <c r="G1012">
        <f>IFERROR(INDEX('01_STAFF'!$F:$F,MATCH(B1012,'01_STAFF'!$A:$A,0))*E1012,0)</f>
        <v/>
      </c>
    </row>
    <row r="1013">
      <c r="A1013" t="inlineStr">
        <is>
          <t>2026-08-06</t>
        </is>
      </c>
      <c r="B1013" t="inlineStr">
        <is>
          <t>S02</t>
        </is>
      </c>
      <c r="C1013" t="inlineStr">
        <is>
          <t>poultry</t>
        </is>
      </c>
      <c r="D1013" t="inlineStr">
        <is>
          <t>Weighing</t>
        </is>
      </c>
      <c r="E1013" t="n">
        <v>8</v>
      </c>
      <c r="F1013" t="n">
        <v>0</v>
      </c>
      <c r="G1013">
        <f>IFERROR(INDEX('01_STAFF'!$F:$F,MATCH(B1013,'01_STAFF'!$A:$A,0))*E1013,0)</f>
        <v/>
      </c>
    </row>
    <row r="1014">
      <c r="A1014" t="inlineStr">
        <is>
          <t>2026-08-06</t>
        </is>
      </c>
      <c r="B1014" t="inlineStr">
        <is>
          <t>S03</t>
        </is>
      </c>
      <c r="C1014" t="inlineStr">
        <is>
          <t>crops</t>
        </is>
      </c>
      <c r="D1014" t="inlineStr">
        <is>
          <t>Harvest</t>
        </is>
      </c>
      <c r="E1014" t="n">
        <v>8</v>
      </c>
      <c r="F1014" t="n">
        <v>0</v>
      </c>
      <c r="G1014">
        <f>IFERROR(INDEX('01_STAFF'!$F:$F,MATCH(B1014,'01_STAFF'!$A:$A,0))*E1014,0)</f>
        <v/>
      </c>
    </row>
    <row r="1015">
      <c r="A1015" t="inlineStr">
        <is>
          <t>2026-08-06</t>
        </is>
      </c>
      <c r="B1015" t="inlineStr">
        <is>
          <t>S04</t>
        </is>
      </c>
      <c r="C1015" t="inlineStr">
        <is>
          <t>shared</t>
        </is>
      </c>
      <c r="D1015" t="inlineStr">
        <is>
          <t>Weighing</t>
        </is>
      </c>
      <c r="E1015" t="n">
        <v>6</v>
      </c>
      <c r="F1015" t="n">
        <v>0</v>
      </c>
      <c r="G1015">
        <f>IFERROR(INDEX('01_STAFF'!$F:$F,MATCH(B1015,'01_STAFF'!$A:$A,0))*E1015,0)</f>
        <v/>
      </c>
    </row>
    <row r="1016">
      <c r="A1016" t="inlineStr">
        <is>
          <t>2026-08-07</t>
        </is>
      </c>
      <c r="B1016" t="inlineStr">
        <is>
          <t>S02</t>
        </is>
      </c>
      <c r="C1016" t="inlineStr">
        <is>
          <t>poultry</t>
        </is>
      </c>
      <c r="D1016" t="inlineStr">
        <is>
          <t>Feeding</t>
        </is>
      </c>
      <c r="E1016" t="n">
        <v>8</v>
      </c>
      <c r="F1016" t="n">
        <v>0</v>
      </c>
      <c r="G1016">
        <f>IFERROR(INDEX('01_STAFF'!$F:$F,MATCH(B1016,'01_STAFF'!$A:$A,0))*E1016,0)</f>
        <v/>
      </c>
    </row>
    <row r="1017">
      <c r="A1017" t="inlineStr">
        <is>
          <t>2026-08-07</t>
        </is>
      </c>
      <c r="B1017" t="inlineStr">
        <is>
          <t>S03</t>
        </is>
      </c>
      <c r="C1017" t="inlineStr">
        <is>
          <t>crops</t>
        </is>
      </c>
      <c r="D1017" t="inlineStr">
        <is>
          <t>Weeding</t>
        </is>
      </c>
      <c r="E1017" t="n">
        <v>8</v>
      </c>
      <c r="F1017" t="n">
        <v>0</v>
      </c>
      <c r="G1017">
        <f>IFERROR(INDEX('01_STAFF'!$F:$F,MATCH(B1017,'01_STAFF'!$A:$A,0))*E1017,0)</f>
        <v/>
      </c>
    </row>
    <row r="1018">
      <c r="A1018" t="inlineStr">
        <is>
          <t>2026-08-07</t>
        </is>
      </c>
      <c r="B1018" t="inlineStr">
        <is>
          <t>S04</t>
        </is>
      </c>
      <c r="C1018" t="inlineStr">
        <is>
          <t>shared</t>
        </is>
      </c>
      <c r="D1018" t="inlineStr">
        <is>
          <t>Vaccination</t>
        </is>
      </c>
      <c r="E1018" t="n">
        <v>6</v>
      </c>
      <c r="F1018" t="n">
        <v>0</v>
      </c>
      <c r="G1018">
        <f>IFERROR(INDEX('01_STAFF'!$F:$F,MATCH(B1018,'01_STAFF'!$A:$A,0))*E1018,0)</f>
        <v/>
      </c>
    </row>
    <row r="1019">
      <c r="A1019" t="inlineStr">
        <is>
          <t>2026-08-08</t>
        </is>
      </c>
      <c r="B1019" t="inlineStr">
        <is>
          <t>S01</t>
        </is>
      </c>
      <c r="C1019" t="inlineStr">
        <is>
          <t>piggery</t>
        </is>
      </c>
      <c r="D1019" t="inlineStr">
        <is>
          <t>Feeding</t>
        </is>
      </c>
      <c r="E1019" t="n">
        <v>8</v>
      </c>
      <c r="F1019" t="n">
        <v>0</v>
      </c>
      <c r="G1019">
        <f>IFERROR(INDEX('01_STAFF'!$F:$F,MATCH(B1019,'01_STAFF'!$A:$A,0))*E1019,0)</f>
        <v/>
      </c>
    </row>
    <row r="1020">
      <c r="A1020" t="inlineStr">
        <is>
          <t>2026-08-08</t>
        </is>
      </c>
      <c r="B1020" t="inlineStr">
        <is>
          <t>S02</t>
        </is>
      </c>
      <c r="C1020" t="inlineStr">
        <is>
          <t>poultry</t>
        </is>
      </c>
      <c r="D1020" t="inlineStr">
        <is>
          <t>Cleaning</t>
        </is>
      </c>
      <c r="E1020" t="n">
        <v>8</v>
      </c>
      <c r="F1020" t="n">
        <v>0</v>
      </c>
      <c r="G1020">
        <f>IFERROR(INDEX('01_STAFF'!$F:$F,MATCH(B1020,'01_STAFF'!$A:$A,0))*E1020,0)</f>
        <v/>
      </c>
    </row>
    <row r="1021">
      <c r="A1021" t="inlineStr">
        <is>
          <t>2026-08-08</t>
        </is>
      </c>
      <c r="B1021" t="inlineStr">
        <is>
          <t>S04</t>
        </is>
      </c>
      <c r="C1021" t="inlineStr">
        <is>
          <t>shared</t>
        </is>
      </c>
      <c r="D1021" t="inlineStr">
        <is>
          <t>Maintenance</t>
        </is>
      </c>
      <c r="E1021" t="n">
        <v>6</v>
      </c>
      <c r="F1021" t="n">
        <v>0</v>
      </c>
      <c r="G1021">
        <f>IFERROR(INDEX('01_STAFF'!$F:$F,MATCH(B1021,'01_STAFF'!$A:$A,0))*E1021,0)</f>
        <v/>
      </c>
    </row>
    <row r="1022">
      <c r="A1022" t="inlineStr">
        <is>
          <t>2026-08-10</t>
        </is>
      </c>
      <c r="B1022" t="inlineStr">
        <is>
          <t>S01</t>
        </is>
      </c>
      <c r="C1022" t="inlineStr">
        <is>
          <t>piggery</t>
        </is>
      </c>
      <c r="D1022" t="inlineStr">
        <is>
          <t>Cleaning</t>
        </is>
      </c>
      <c r="E1022" t="n">
        <v>8</v>
      </c>
      <c r="F1022" t="n">
        <v>0</v>
      </c>
      <c r="G1022">
        <f>IFERROR(INDEX('01_STAFF'!$F:$F,MATCH(B1022,'01_STAFF'!$A:$A,0))*E1022,0)</f>
        <v/>
      </c>
    </row>
    <row r="1023">
      <c r="A1023" t="inlineStr">
        <is>
          <t>2026-08-10</t>
        </is>
      </c>
      <c r="B1023" t="inlineStr">
        <is>
          <t>S02</t>
        </is>
      </c>
      <c r="C1023" t="inlineStr">
        <is>
          <t>poultry</t>
        </is>
      </c>
      <c r="D1023" t="inlineStr">
        <is>
          <t>Cleaning</t>
        </is>
      </c>
      <c r="E1023" t="n">
        <v>8</v>
      </c>
      <c r="F1023" t="n">
        <v>1</v>
      </c>
      <c r="G1023">
        <f>IFERROR(INDEX('01_STAFF'!$F:$F,MATCH(B1023,'01_STAFF'!$A:$A,0))*E1023,0)</f>
        <v/>
      </c>
    </row>
    <row r="1024">
      <c r="A1024" t="inlineStr">
        <is>
          <t>2026-08-10</t>
        </is>
      </c>
      <c r="B1024" t="inlineStr">
        <is>
          <t>S03</t>
        </is>
      </c>
      <c r="C1024" t="inlineStr">
        <is>
          <t>crops</t>
        </is>
      </c>
      <c r="D1024" t="inlineStr">
        <is>
          <t>Harvest</t>
        </is>
      </c>
      <c r="E1024" t="n">
        <v>8</v>
      </c>
      <c r="F1024" t="n">
        <v>0</v>
      </c>
      <c r="G1024">
        <f>IFERROR(INDEX('01_STAFF'!$F:$F,MATCH(B1024,'01_STAFF'!$A:$A,0))*E1024,0)</f>
        <v/>
      </c>
    </row>
    <row r="1025">
      <c r="A1025" t="inlineStr">
        <is>
          <t>2026-08-10</t>
        </is>
      </c>
      <c r="B1025" t="inlineStr">
        <is>
          <t>S04</t>
        </is>
      </c>
      <c r="C1025" t="inlineStr">
        <is>
          <t>shared</t>
        </is>
      </c>
      <c r="D1025" t="inlineStr">
        <is>
          <t>Maintenance</t>
        </is>
      </c>
      <c r="E1025" t="n">
        <v>6</v>
      </c>
      <c r="F1025" t="n">
        <v>0</v>
      </c>
      <c r="G1025">
        <f>IFERROR(INDEX('01_STAFF'!$F:$F,MATCH(B1025,'01_STAFF'!$A:$A,0))*E1025,0)</f>
        <v/>
      </c>
    </row>
    <row r="1026">
      <c r="A1026" t="inlineStr">
        <is>
          <t>2026-08-11</t>
        </is>
      </c>
      <c r="B1026" t="inlineStr">
        <is>
          <t>S01</t>
        </is>
      </c>
      <c r="C1026" t="inlineStr">
        <is>
          <t>piggery</t>
        </is>
      </c>
      <c r="D1026" t="inlineStr">
        <is>
          <t>Vaccination</t>
        </is>
      </c>
      <c r="E1026" t="n">
        <v>8</v>
      </c>
      <c r="F1026" t="n">
        <v>0</v>
      </c>
      <c r="G1026">
        <f>IFERROR(INDEX('01_STAFF'!$F:$F,MATCH(B1026,'01_STAFF'!$A:$A,0))*E1026,0)</f>
        <v/>
      </c>
    </row>
    <row r="1027">
      <c r="A1027" t="inlineStr">
        <is>
          <t>2026-08-11</t>
        </is>
      </c>
      <c r="B1027" t="inlineStr">
        <is>
          <t>S02</t>
        </is>
      </c>
      <c r="C1027" t="inlineStr">
        <is>
          <t>poultry</t>
        </is>
      </c>
      <c r="D1027" t="inlineStr">
        <is>
          <t>Vaccination</t>
        </is>
      </c>
      <c r="E1027" t="n">
        <v>8</v>
      </c>
      <c r="F1027" t="n">
        <v>0</v>
      </c>
      <c r="G1027">
        <f>IFERROR(INDEX('01_STAFF'!$F:$F,MATCH(B1027,'01_STAFF'!$A:$A,0))*E1027,0)</f>
        <v/>
      </c>
    </row>
    <row r="1028">
      <c r="A1028" t="inlineStr">
        <is>
          <t>2026-08-11</t>
        </is>
      </c>
      <c r="B1028" t="inlineStr">
        <is>
          <t>S03</t>
        </is>
      </c>
      <c r="C1028" t="inlineStr">
        <is>
          <t>crops</t>
        </is>
      </c>
      <c r="D1028" t="inlineStr">
        <is>
          <t>Land prep</t>
        </is>
      </c>
      <c r="E1028" t="n">
        <v>8</v>
      </c>
      <c r="F1028" t="n">
        <v>0</v>
      </c>
      <c r="G1028">
        <f>IFERROR(INDEX('01_STAFF'!$F:$F,MATCH(B1028,'01_STAFF'!$A:$A,0))*E1028,0)</f>
        <v/>
      </c>
    </row>
    <row r="1029">
      <c r="A1029" t="inlineStr">
        <is>
          <t>2026-08-11</t>
        </is>
      </c>
      <c r="B1029" t="inlineStr">
        <is>
          <t>S04</t>
        </is>
      </c>
      <c r="C1029" t="inlineStr">
        <is>
          <t>shared</t>
        </is>
      </c>
      <c r="D1029" t="inlineStr">
        <is>
          <t>Vaccination</t>
        </is>
      </c>
      <c r="E1029" t="n">
        <v>7</v>
      </c>
      <c r="F1029" t="n">
        <v>0</v>
      </c>
      <c r="G1029">
        <f>IFERROR(INDEX('01_STAFF'!$F:$F,MATCH(B1029,'01_STAFF'!$A:$A,0))*E1029,0)</f>
        <v/>
      </c>
    </row>
    <row r="1030">
      <c r="A1030" t="inlineStr">
        <is>
          <t>2026-08-12</t>
        </is>
      </c>
      <c r="B1030" t="inlineStr">
        <is>
          <t>S01</t>
        </is>
      </c>
      <c r="C1030" t="inlineStr">
        <is>
          <t>piggery</t>
        </is>
      </c>
      <c r="D1030" t="inlineStr">
        <is>
          <t>Vaccination</t>
        </is>
      </c>
      <c r="E1030" t="n">
        <v>8</v>
      </c>
      <c r="F1030" t="n">
        <v>0</v>
      </c>
      <c r="G1030">
        <f>IFERROR(INDEX('01_STAFF'!$F:$F,MATCH(B1030,'01_STAFF'!$A:$A,0))*E1030,0)</f>
        <v/>
      </c>
    </row>
    <row r="1031">
      <c r="A1031" t="inlineStr">
        <is>
          <t>2026-08-12</t>
        </is>
      </c>
      <c r="B1031" t="inlineStr">
        <is>
          <t>S03</t>
        </is>
      </c>
      <c r="C1031" t="inlineStr">
        <is>
          <t>crops</t>
        </is>
      </c>
      <c r="D1031" t="inlineStr">
        <is>
          <t>Harvest</t>
        </is>
      </c>
      <c r="E1031" t="n">
        <v>8</v>
      </c>
      <c r="F1031" t="n">
        <v>1</v>
      </c>
      <c r="G1031">
        <f>IFERROR(INDEX('01_STAFF'!$F:$F,MATCH(B1031,'01_STAFF'!$A:$A,0))*E1031,0)</f>
        <v/>
      </c>
    </row>
    <row r="1032">
      <c r="A1032" t="inlineStr">
        <is>
          <t>2026-08-13</t>
        </is>
      </c>
      <c r="B1032" t="inlineStr">
        <is>
          <t>S01</t>
        </is>
      </c>
      <c r="C1032" t="inlineStr">
        <is>
          <t>piggery</t>
        </is>
      </c>
      <c r="D1032" t="inlineStr">
        <is>
          <t>Vaccination</t>
        </is>
      </c>
      <c r="E1032" t="n">
        <v>8</v>
      </c>
      <c r="F1032" t="n">
        <v>0</v>
      </c>
      <c r="G1032">
        <f>IFERROR(INDEX('01_STAFF'!$F:$F,MATCH(B1032,'01_STAFF'!$A:$A,0))*E1032,0)</f>
        <v/>
      </c>
    </row>
    <row r="1033">
      <c r="A1033" t="inlineStr">
        <is>
          <t>2026-08-13</t>
        </is>
      </c>
      <c r="B1033" t="inlineStr">
        <is>
          <t>S02</t>
        </is>
      </c>
      <c r="C1033" t="inlineStr">
        <is>
          <t>poultry</t>
        </is>
      </c>
      <c r="D1033" t="inlineStr">
        <is>
          <t>Cleaning</t>
        </is>
      </c>
      <c r="E1033" t="n">
        <v>8</v>
      </c>
      <c r="F1033" t="n">
        <v>0</v>
      </c>
      <c r="G1033">
        <f>IFERROR(INDEX('01_STAFF'!$F:$F,MATCH(B1033,'01_STAFF'!$A:$A,0))*E1033,0)</f>
        <v/>
      </c>
    </row>
    <row r="1034">
      <c r="A1034" t="inlineStr">
        <is>
          <t>2026-08-13</t>
        </is>
      </c>
      <c r="B1034" t="inlineStr">
        <is>
          <t>S03</t>
        </is>
      </c>
      <c r="C1034" t="inlineStr">
        <is>
          <t>crops</t>
        </is>
      </c>
      <c r="D1034" t="inlineStr">
        <is>
          <t>Weeding</t>
        </is>
      </c>
      <c r="E1034" t="n">
        <v>8</v>
      </c>
      <c r="F1034" t="n">
        <v>0</v>
      </c>
      <c r="G1034">
        <f>IFERROR(INDEX('01_STAFF'!$F:$F,MATCH(B1034,'01_STAFF'!$A:$A,0))*E1034,0)</f>
        <v/>
      </c>
    </row>
    <row r="1035">
      <c r="A1035" t="inlineStr">
        <is>
          <t>2026-08-13</t>
        </is>
      </c>
      <c r="B1035" t="inlineStr">
        <is>
          <t>S04</t>
        </is>
      </c>
      <c r="C1035" t="inlineStr">
        <is>
          <t>shared</t>
        </is>
      </c>
      <c r="D1035" t="inlineStr">
        <is>
          <t>Maintenance</t>
        </is>
      </c>
      <c r="E1035" t="n">
        <v>6</v>
      </c>
      <c r="F1035" t="n">
        <v>0</v>
      </c>
      <c r="G1035">
        <f>IFERROR(INDEX('01_STAFF'!$F:$F,MATCH(B1035,'01_STAFF'!$A:$A,0))*E1035,0)</f>
        <v/>
      </c>
    </row>
    <row r="1036">
      <c r="A1036" t="inlineStr">
        <is>
          <t>2026-08-14</t>
        </is>
      </c>
      <c r="B1036" t="inlineStr">
        <is>
          <t>S01</t>
        </is>
      </c>
      <c r="C1036" t="inlineStr">
        <is>
          <t>piggery</t>
        </is>
      </c>
      <c r="D1036" t="inlineStr">
        <is>
          <t>Feeding</t>
        </is>
      </c>
      <c r="E1036" t="n">
        <v>8</v>
      </c>
      <c r="F1036" t="n">
        <v>0</v>
      </c>
      <c r="G1036">
        <f>IFERROR(INDEX('01_STAFF'!$F:$F,MATCH(B1036,'01_STAFF'!$A:$A,0))*E1036,0)</f>
        <v/>
      </c>
    </row>
    <row r="1037">
      <c r="A1037" t="inlineStr">
        <is>
          <t>2026-08-14</t>
        </is>
      </c>
      <c r="B1037" t="inlineStr">
        <is>
          <t>S02</t>
        </is>
      </c>
      <c r="C1037" t="inlineStr">
        <is>
          <t>poultry</t>
        </is>
      </c>
      <c r="D1037" t="inlineStr">
        <is>
          <t>Cleaning</t>
        </is>
      </c>
      <c r="E1037" t="n">
        <v>8</v>
      </c>
      <c r="F1037" t="n">
        <v>0</v>
      </c>
      <c r="G1037">
        <f>IFERROR(INDEX('01_STAFF'!$F:$F,MATCH(B1037,'01_STAFF'!$A:$A,0))*E1037,0)</f>
        <v/>
      </c>
    </row>
    <row r="1038">
      <c r="A1038" t="inlineStr">
        <is>
          <t>2026-08-14</t>
        </is>
      </c>
      <c r="B1038" t="inlineStr">
        <is>
          <t>S03</t>
        </is>
      </c>
      <c r="C1038" t="inlineStr">
        <is>
          <t>crops</t>
        </is>
      </c>
      <c r="D1038" t="inlineStr">
        <is>
          <t>Harvest</t>
        </is>
      </c>
      <c r="E1038" t="n">
        <v>8</v>
      </c>
      <c r="F1038" t="n">
        <v>0</v>
      </c>
      <c r="G1038">
        <f>IFERROR(INDEX('01_STAFF'!$F:$F,MATCH(B1038,'01_STAFF'!$A:$A,0))*E1038,0)</f>
        <v/>
      </c>
    </row>
    <row r="1039">
      <c r="A1039" t="inlineStr">
        <is>
          <t>2026-08-14</t>
        </is>
      </c>
      <c r="B1039" t="inlineStr">
        <is>
          <t>S04</t>
        </is>
      </c>
      <c r="C1039" t="inlineStr">
        <is>
          <t>shared</t>
        </is>
      </c>
      <c r="D1039" t="inlineStr">
        <is>
          <t>Maintenance</t>
        </is>
      </c>
      <c r="E1039" t="n">
        <v>7</v>
      </c>
      <c r="F1039" t="n">
        <v>0</v>
      </c>
      <c r="G1039">
        <f>IFERROR(INDEX('01_STAFF'!$F:$F,MATCH(B1039,'01_STAFF'!$A:$A,0))*E1039,0)</f>
        <v/>
      </c>
    </row>
    <row r="1040">
      <c r="A1040" t="inlineStr">
        <is>
          <t>2026-08-15</t>
        </is>
      </c>
      <c r="B1040" t="inlineStr">
        <is>
          <t>S01</t>
        </is>
      </c>
      <c r="C1040" t="inlineStr">
        <is>
          <t>piggery</t>
        </is>
      </c>
      <c r="D1040" t="inlineStr">
        <is>
          <t>Vaccination</t>
        </is>
      </c>
      <c r="E1040" t="n">
        <v>8</v>
      </c>
      <c r="F1040" t="n">
        <v>0</v>
      </c>
      <c r="G1040">
        <f>IFERROR(INDEX('01_STAFF'!$F:$F,MATCH(B1040,'01_STAFF'!$A:$A,0))*E1040,0)</f>
        <v/>
      </c>
    </row>
    <row r="1041">
      <c r="A1041" t="inlineStr">
        <is>
          <t>2026-08-15</t>
        </is>
      </c>
      <c r="B1041" t="inlineStr">
        <is>
          <t>S04</t>
        </is>
      </c>
      <c r="C1041" t="inlineStr">
        <is>
          <t>shared</t>
        </is>
      </c>
      <c r="D1041" t="inlineStr">
        <is>
          <t>Weighing</t>
        </is>
      </c>
      <c r="E1041" t="n">
        <v>6</v>
      </c>
      <c r="F1041" t="n">
        <v>0</v>
      </c>
      <c r="G1041">
        <f>IFERROR(INDEX('01_STAFF'!$F:$F,MATCH(B1041,'01_STAFF'!$A:$A,0))*E1041,0)</f>
        <v/>
      </c>
    </row>
    <row r="1042">
      <c r="A1042" t="inlineStr">
        <is>
          <t>2026-08-16</t>
        </is>
      </c>
      <c r="B1042" t="inlineStr">
        <is>
          <t>S01</t>
        </is>
      </c>
      <c r="C1042" t="inlineStr">
        <is>
          <t>piggery</t>
        </is>
      </c>
      <c r="D1042" t="inlineStr">
        <is>
          <t>Feeding</t>
        </is>
      </c>
      <c r="E1042" t="n">
        <v>8</v>
      </c>
      <c r="F1042" t="n">
        <v>0</v>
      </c>
      <c r="G1042">
        <f>IFERROR(INDEX('01_STAFF'!$F:$F,MATCH(B1042,'01_STAFF'!$A:$A,0))*E1042,0)</f>
        <v/>
      </c>
    </row>
    <row r="1043">
      <c r="A1043" t="inlineStr">
        <is>
          <t>2026-08-16</t>
        </is>
      </c>
      <c r="B1043" t="inlineStr">
        <is>
          <t>S02</t>
        </is>
      </c>
      <c r="C1043" t="inlineStr">
        <is>
          <t>poultry</t>
        </is>
      </c>
      <c r="D1043" t="inlineStr">
        <is>
          <t>Feeding</t>
        </is>
      </c>
      <c r="E1043" t="n">
        <v>8</v>
      </c>
      <c r="F1043" t="n">
        <v>1</v>
      </c>
      <c r="G1043">
        <f>IFERROR(INDEX('01_STAFF'!$F:$F,MATCH(B1043,'01_STAFF'!$A:$A,0))*E1043,0)</f>
        <v/>
      </c>
    </row>
    <row r="1044">
      <c r="A1044" t="inlineStr">
        <is>
          <t>2026-08-16</t>
        </is>
      </c>
      <c r="B1044" t="inlineStr">
        <is>
          <t>S03</t>
        </is>
      </c>
      <c r="C1044" t="inlineStr">
        <is>
          <t>crops</t>
        </is>
      </c>
      <c r="D1044" t="inlineStr">
        <is>
          <t>Land prep</t>
        </is>
      </c>
      <c r="E1044" t="n">
        <v>8</v>
      </c>
      <c r="F1044" t="n">
        <v>0</v>
      </c>
      <c r="G1044">
        <f>IFERROR(INDEX('01_STAFF'!$F:$F,MATCH(B1044,'01_STAFF'!$A:$A,0))*E1044,0)</f>
        <v/>
      </c>
    </row>
    <row r="1045">
      <c r="A1045" t="inlineStr">
        <is>
          <t>2026-08-16</t>
        </is>
      </c>
      <c r="B1045" t="inlineStr">
        <is>
          <t>S04</t>
        </is>
      </c>
      <c r="C1045" t="inlineStr">
        <is>
          <t>shared</t>
        </is>
      </c>
      <c r="D1045" t="inlineStr">
        <is>
          <t>Vaccination</t>
        </is>
      </c>
      <c r="E1045" t="n">
        <v>7</v>
      </c>
      <c r="F1045" t="n">
        <v>0</v>
      </c>
      <c r="G1045">
        <f>IFERROR(INDEX('01_STAFF'!$F:$F,MATCH(B1045,'01_STAFF'!$A:$A,0))*E1045,0)</f>
        <v/>
      </c>
    </row>
    <row r="1046">
      <c r="A1046" t="inlineStr">
        <is>
          <t>2026-08-17</t>
        </is>
      </c>
      <c r="B1046" t="inlineStr">
        <is>
          <t>S01</t>
        </is>
      </c>
      <c r="C1046" t="inlineStr">
        <is>
          <t>piggery</t>
        </is>
      </c>
      <c r="D1046" t="inlineStr">
        <is>
          <t>Vaccination</t>
        </is>
      </c>
      <c r="E1046" t="n">
        <v>8</v>
      </c>
      <c r="F1046" t="n">
        <v>0</v>
      </c>
      <c r="G1046">
        <f>IFERROR(INDEX('01_STAFF'!$F:$F,MATCH(B1046,'01_STAFF'!$A:$A,0))*E1046,0)</f>
        <v/>
      </c>
    </row>
    <row r="1047">
      <c r="A1047" t="inlineStr">
        <is>
          <t>2026-08-17</t>
        </is>
      </c>
      <c r="B1047" t="inlineStr">
        <is>
          <t>S02</t>
        </is>
      </c>
      <c r="C1047" t="inlineStr">
        <is>
          <t>poultry</t>
        </is>
      </c>
      <c r="D1047" t="inlineStr">
        <is>
          <t>Weighing</t>
        </is>
      </c>
      <c r="E1047" t="n">
        <v>8</v>
      </c>
      <c r="F1047" t="n">
        <v>0</v>
      </c>
      <c r="G1047">
        <f>IFERROR(INDEX('01_STAFF'!$F:$F,MATCH(B1047,'01_STAFF'!$A:$A,0))*E1047,0)</f>
        <v/>
      </c>
    </row>
    <row r="1048">
      <c r="A1048" t="inlineStr">
        <is>
          <t>2026-08-17</t>
        </is>
      </c>
      <c r="B1048" t="inlineStr">
        <is>
          <t>S03</t>
        </is>
      </c>
      <c r="C1048" t="inlineStr">
        <is>
          <t>crops</t>
        </is>
      </c>
      <c r="D1048" t="inlineStr">
        <is>
          <t>Spraying</t>
        </is>
      </c>
      <c r="E1048" t="n">
        <v>8</v>
      </c>
      <c r="F1048" t="n">
        <v>0</v>
      </c>
      <c r="G1048">
        <f>IFERROR(INDEX('01_STAFF'!$F:$F,MATCH(B1048,'01_STAFF'!$A:$A,0))*E1048,0)</f>
        <v/>
      </c>
    </row>
    <row r="1049">
      <c r="A1049" t="inlineStr">
        <is>
          <t>2026-08-17</t>
        </is>
      </c>
      <c r="B1049" t="inlineStr">
        <is>
          <t>S04</t>
        </is>
      </c>
      <c r="C1049" t="inlineStr">
        <is>
          <t>shared</t>
        </is>
      </c>
      <c r="D1049" t="inlineStr">
        <is>
          <t>Maintenance</t>
        </is>
      </c>
      <c r="E1049" t="n">
        <v>7</v>
      </c>
      <c r="F1049" t="n">
        <v>0</v>
      </c>
      <c r="G1049">
        <f>IFERROR(INDEX('01_STAFF'!$F:$F,MATCH(B1049,'01_STAFF'!$A:$A,0))*E1049,0)</f>
        <v/>
      </c>
    </row>
    <row r="1050">
      <c r="A1050" t="inlineStr">
        <is>
          <t>2026-08-18</t>
        </is>
      </c>
      <c r="B1050" t="inlineStr">
        <is>
          <t>S01</t>
        </is>
      </c>
      <c r="C1050" t="inlineStr">
        <is>
          <t>piggery</t>
        </is>
      </c>
      <c r="D1050" t="inlineStr">
        <is>
          <t>Feeding</t>
        </is>
      </c>
      <c r="E1050" t="n">
        <v>8</v>
      </c>
      <c r="F1050" t="n">
        <v>0</v>
      </c>
      <c r="G1050">
        <f>IFERROR(INDEX('01_STAFF'!$F:$F,MATCH(B1050,'01_STAFF'!$A:$A,0))*E1050,0)</f>
        <v/>
      </c>
    </row>
    <row r="1051">
      <c r="A1051" t="inlineStr">
        <is>
          <t>2026-08-18</t>
        </is>
      </c>
      <c r="B1051" t="inlineStr">
        <is>
          <t>S02</t>
        </is>
      </c>
      <c r="C1051" t="inlineStr">
        <is>
          <t>poultry</t>
        </is>
      </c>
      <c r="D1051" t="inlineStr">
        <is>
          <t>Cleaning</t>
        </is>
      </c>
      <c r="E1051" t="n">
        <v>8</v>
      </c>
      <c r="F1051" t="n">
        <v>1</v>
      </c>
      <c r="G1051">
        <f>IFERROR(INDEX('01_STAFF'!$F:$F,MATCH(B1051,'01_STAFF'!$A:$A,0))*E1051,0)</f>
        <v/>
      </c>
    </row>
    <row r="1052">
      <c r="A1052" t="inlineStr">
        <is>
          <t>2026-08-18</t>
        </is>
      </c>
      <c r="B1052" t="inlineStr">
        <is>
          <t>S03</t>
        </is>
      </c>
      <c r="C1052" t="inlineStr">
        <is>
          <t>crops</t>
        </is>
      </c>
      <c r="D1052" t="inlineStr">
        <is>
          <t>Maintenance</t>
        </is>
      </c>
      <c r="E1052" t="n">
        <v>8</v>
      </c>
      <c r="F1052" t="n">
        <v>0</v>
      </c>
      <c r="G1052">
        <f>IFERROR(INDEX('01_STAFF'!$F:$F,MATCH(B1052,'01_STAFF'!$A:$A,0))*E1052,0)</f>
        <v/>
      </c>
    </row>
    <row r="1053">
      <c r="A1053" t="inlineStr">
        <is>
          <t>2026-08-18</t>
        </is>
      </c>
      <c r="B1053" t="inlineStr">
        <is>
          <t>S04</t>
        </is>
      </c>
      <c r="C1053" t="inlineStr">
        <is>
          <t>shared</t>
        </is>
      </c>
      <c r="D1053" t="inlineStr">
        <is>
          <t>Marketing</t>
        </is>
      </c>
      <c r="E1053" t="n">
        <v>6</v>
      </c>
      <c r="F1053" t="n">
        <v>0</v>
      </c>
      <c r="G1053">
        <f>IFERROR(INDEX('01_STAFF'!$F:$F,MATCH(B1053,'01_STAFF'!$A:$A,0))*E1053,0)</f>
        <v/>
      </c>
    </row>
    <row r="1054">
      <c r="A1054" t="inlineStr">
        <is>
          <t>2026-08-19</t>
        </is>
      </c>
      <c r="B1054" t="inlineStr">
        <is>
          <t>S01</t>
        </is>
      </c>
      <c r="C1054" t="inlineStr">
        <is>
          <t>piggery</t>
        </is>
      </c>
      <c r="D1054" t="inlineStr">
        <is>
          <t>Vaccination</t>
        </is>
      </c>
      <c r="E1054" t="n">
        <v>8</v>
      </c>
      <c r="F1054" t="n">
        <v>0</v>
      </c>
      <c r="G1054">
        <f>IFERROR(INDEX('01_STAFF'!$F:$F,MATCH(B1054,'01_STAFF'!$A:$A,0))*E1054,0)</f>
        <v/>
      </c>
    </row>
    <row r="1055">
      <c r="A1055" t="inlineStr">
        <is>
          <t>2026-08-19</t>
        </is>
      </c>
      <c r="B1055" t="inlineStr">
        <is>
          <t>S02</t>
        </is>
      </c>
      <c r="C1055" t="inlineStr">
        <is>
          <t>poultry</t>
        </is>
      </c>
      <c r="D1055" t="inlineStr">
        <is>
          <t>Feeding</t>
        </is>
      </c>
      <c r="E1055" t="n">
        <v>8</v>
      </c>
      <c r="F1055" t="n">
        <v>0</v>
      </c>
      <c r="G1055">
        <f>IFERROR(INDEX('01_STAFF'!$F:$F,MATCH(B1055,'01_STAFF'!$A:$A,0))*E1055,0)</f>
        <v/>
      </c>
    </row>
    <row r="1056">
      <c r="A1056" t="inlineStr">
        <is>
          <t>2026-08-19</t>
        </is>
      </c>
      <c r="B1056" t="inlineStr">
        <is>
          <t>S03</t>
        </is>
      </c>
      <c r="C1056" t="inlineStr">
        <is>
          <t>crops</t>
        </is>
      </c>
      <c r="D1056" t="inlineStr">
        <is>
          <t>Spraying</t>
        </is>
      </c>
      <c r="E1056" t="n">
        <v>8</v>
      </c>
      <c r="F1056" t="n">
        <v>1</v>
      </c>
      <c r="G1056">
        <f>IFERROR(INDEX('01_STAFF'!$F:$F,MATCH(B1056,'01_STAFF'!$A:$A,0))*E1056,0)</f>
        <v/>
      </c>
    </row>
    <row r="1057">
      <c r="A1057" t="inlineStr">
        <is>
          <t>2026-08-19</t>
        </is>
      </c>
      <c r="B1057" t="inlineStr">
        <is>
          <t>S04</t>
        </is>
      </c>
      <c r="C1057" t="inlineStr">
        <is>
          <t>shared</t>
        </is>
      </c>
      <c r="D1057" t="inlineStr">
        <is>
          <t>Maintenance</t>
        </is>
      </c>
      <c r="E1057" t="n">
        <v>7</v>
      </c>
      <c r="F1057" t="n">
        <v>0</v>
      </c>
      <c r="G1057">
        <f>IFERROR(INDEX('01_STAFF'!$F:$F,MATCH(B1057,'01_STAFF'!$A:$A,0))*E1057,0)</f>
        <v/>
      </c>
    </row>
    <row r="1058">
      <c r="A1058" t="inlineStr">
        <is>
          <t>2026-08-20</t>
        </is>
      </c>
      <c r="B1058" t="inlineStr">
        <is>
          <t>S01</t>
        </is>
      </c>
      <c r="C1058" t="inlineStr">
        <is>
          <t>piggery</t>
        </is>
      </c>
      <c r="D1058" t="inlineStr">
        <is>
          <t>Cleaning</t>
        </is>
      </c>
      <c r="E1058" t="n">
        <v>8</v>
      </c>
      <c r="F1058" t="n">
        <v>0</v>
      </c>
      <c r="G1058">
        <f>IFERROR(INDEX('01_STAFF'!$F:$F,MATCH(B1058,'01_STAFF'!$A:$A,0))*E1058,0)</f>
        <v/>
      </c>
    </row>
    <row r="1059">
      <c r="A1059" t="inlineStr">
        <is>
          <t>2026-08-20</t>
        </is>
      </c>
      <c r="B1059" t="inlineStr">
        <is>
          <t>S02</t>
        </is>
      </c>
      <c r="C1059" t="inlineStr">
        <is>
          <t>poultry</t>
        </is>
      </c>
      <c r="D1059" t="inlineStr">
        <is>
          <t>Feeding</t>
        </is>
      </c>
      <c r="E1059" t="n">
        <v>8</v>
      </c>
      <c r="F1059" t="n">
        <v>0</v>
      </c>
      <c r="G1059">
        <f>IFERROR(INDEX('01_STAFF'!$F:$F,MATCH(B1059,'01_STAFF'!$A:$A,0))*E1059,0)</f>
        <v/>
      </c>
    </row>
    <row r="1060">
      <c r="A1060" t="inlineStr">
        <is>
          <t>2026-08-20</t>
        </is>
      </c>
      <c r="B1060" t="inlineStr">
        <is>
          <t>S03</t>
        </is>
      </c>
      <c r="C1060" t="inlineStr">
        <is>
          <t>crops</t>
        </is>
      </c>
      <c r="D1060" t="inlineStr">
        <is>
          <t>Harvest</t>
        </is>
      </c>
      <c r="E1060" t="n">
        <v>8</v>
      </c>
      <c r="F1060" t="n">
        <v>0</v>
      </c>
      <c r="G1060">
        <f>IFERROR(INDEX('01_STAFF'!$F:$F,MATCH(B1060,'01_STAFF'!$A:$A,0))*E1060,0)</f>
        <v/>
      </c>
    </row>
    <row r="1061">
      <c r="A1061" t="inlineStr">
        <is>
          <t>2026-08-20</t>
        </is>
      </c>
      <c r="B1061" t="inlineStr">
        <is>
          <t>S04</t>
        </is>
      </c>
      <c r="C1061" t="inlineStr">
        <is>
          <t>shared</t>
        </is>
      </c>
      <c r="D1061" t="inlineStr">
        <is>
          <t>Maintenance</t>
        </is>
      </c>
      <c r="E1061" t="n">
        <v>7</v>
      </c>
      <c r="F1061" t="n">
        <v>0</v>
      </c>
      <c r="G1061">
        <f>IFERROR(INDEX('01_STAFF'!$F:$F,MATCH(B1061,'01_STAFF'!$A:$A,0))*E1061,0)</f>
        <v/>
      </c>
    </row>
    <row r="1062">
      <c r="A1062" t="inlineStr">
        <is>
          <t>2026-08-21</t>
        </is>
      </c>
      <c r="B1062" t="inlineStr">
        <is>
          <t>S01</t>
        </is>
      </c>
      <c r="C1062" t="inlineStr">
        <is>
          <t>piggery</t>
        </is>
      </c>
      <c r="D1062" t="inlineStr">
        <is>
          <t>Cleaning</t>
        </is>
      </c>
      <c r="E1062" t="n">
        <v>8</v>
      </c>
      <c r="F1062" t="n">
        <v>0</v>
      </c>
      <c r="G1062">
        <f>IFERROR(INDEX('01_STAFF'!$F:$F,MATCH(B1062,'01_STAFF'!$A:$A,0))*E1062,0)</f>
        <v/>
      </c>
    </row>
    <row r="1063">
      <c r="A1063" t="inlineStr">
        <is>
          <t>2026-08-21</t>
        </is>
      </c>
      <c r="B1063" t="inlineStr">
        <is>
          <t>S02</t>
        </is>
      </c>
      <c r="C1063" t="inlineStr">
        <is>
          <t>poultry</t>
        </is>
      </c>
      <c r="D1063" t="inlineStr">
        <is>
          <t>Feeding</t>
        </is>
      </c>
      <c r="E1063" t="n">
        <v>8</v>
      </c>
      <c r="F1063" t="n">
        <v>0</v>
      </c>
      <c r="G1063">
        <f>IFERROR(INDEX('01_STAFF'!$F:$F,MATCH(B1063,'01_STAFF'!$A:$A,0))*E1063,0)</f>
        <v/>
      </c>
    </row>
    <row r="1064">
      <c r="A1064" t="inlineStr">
        <is>
          <t>2026-08-21</t>
        </is>
      </c>
      <c r="B1064" t="inlineStr">
        <is>
          <t>S03</t>
        </is>
      </c>
      <c r="C1064" t="inlineStr">
        <is>
          <t>crops</t>
        </is>
      </c>
      <c r="D1064" t="inlineStr">
        <is>
          <t>Spraying</t>
        </is>
      </c>
      <c r="E1064" t="n">
        <v>8</v>
      </c>
      <c r="F1064" t="n">
        <v>0</v>
      </c>
      <c r="G1064">
        <f>IFERROR(INDEX('01_STAFF'!$F:$F,MATCH(B1064,'01_STAFF'!$A:$A,0))*E1064,0)</f>
        <v/>
      </c>
    </row>
    <row r="1065">
      <c r="A1065" t="inlineStr">
        <is>
          <t>2026-08-21</t>
        </is>
      </c>
      <c r="B1065" t="inlineStr">
        <is>
          <t>S04</t>
        </is>
      </c>
      <c r="C1065" t="inlineStr">
        <is>
          <t>shared</t>
        </is>
      </c>
      <c r="D1065" t="inlineStr">
        <is>
          <t>Weighing</t>
        </is>
      </c>
      <c r="E1065" t="n">
        <v>5</v>
      </c>
      <c r="F1065" t="n">
        <v>0</v>
      </c>
      <c r="G1065">
        <f>IFERROR(INDEX('01_STAFF'!$F:$F,MATCH(B1065,'01_STAFF'!$A:$A,0))*E1065,0)</f>
        <v/>
      </c>
    </row>
    <row r="1066">
      <c r="A1066" t="inlineStr">
        <is>
          <t>2026-08-22</t>
        </is>
      </c>
      <c r="B1066" t="inlineStr">
        <is>
          <t>S01</t>
        </is>
      </c>
      <c r="C1066" t="inlineStr">
        <is>
          <t>piggery</t>
        </is>
      </c>
      <c r="D1066" t="inlineStr">
        <is>
          <t>Cleaning</t>
        </is>
      </c>
      <c r="E1066" t="n">
        <v>8</v>
      </c>
      <c r="F1066" t="n">
        <v>0</v>
      </c>
      <c r="G1066">
        <f>IFERROR(INDEX('01_STAFF'!$F:$F,MATCH(B1066,'01_STAFF'!$A:$A,0))*E1066,0)</f>
        <v/>
      </c>
    </row>
    <row r="1067">
      <c r="A1067" t="inlineStr">
        <is>
          <t>2026-08-22</t>
        </is>
      </c>
      <c r="B1067" t="inlineStr">
        <is>
          <t>S02</t>
        </is>
      </c>
      <c r="C1067" t="inlineStr">
        <is>
          <t>poultry</t>
        </is>
      </c>
      <c r="D1067" t="inlineStr">
        <is>
          <t>Feeding</t>
        </is>
      </c>
      <c r="E1067" t="n">
        <v>8</v>
      </c>
      <c r="F1067" t="n">
        <v>0</v>
      </c>
      <c r="G1067">
        <f>IFERROR(INDEX('01_STAFF'!$F:$F,MATCH(B1067,'01_STAFF'!$A:$A,0))*E1067,0)</f>
        <v/>
      </c>
    </row>
    <row r="1068">
      <c r="A1068" t="inlineStr">
        <is>
          <t>2026-08-22</t>
        </is>
      </c>
      <c r="B1068" t="inlineStr">
        <is>
          <t>S03</t>
        </is>
      </c>
      <c r="C1068" t="inlineStr">
        <is>
          <t>crops</t>
        </is>
      </c>
      <c r="D1068" t="inlineStr">
        <is>
          <t>Land prep</t>
        </is>
      </c>
      <c r="E1068" t="n">
        <v>8</v>
      </c>
      <c r="F1068" t="n">
        <v>0</v>
      </c>
      <c r="G1068">
        <f>IFERROR(INDEX('01_STAFF'!$F:$F,MATCH(B1068,'01_STAFF'!$A:$A,0))*E1068,0)</f>
        <v/>
      </c>
    </row>
    <row r="1069">
      <c r="A1069" t="inlineStr">
        <is>
          <t>2026-08-22</t>
        </is>
      </c>
      <c r="B1069" t="inlineStr">
        <is>
          <t>S04</t>
        </is>
      </c>
      <c r="C1069" t="inlineStr">
        <is>
          <t>shared</t>
        </is>
      </c>
      <c r="D1069" t="inlineStr">
        <is>
          <t>Weighing</t>
        </is>
      </c>
      <c r="E1069" t="n">
        <v>7</v>
      </c>
      <c r="F1069" t="n">
        <v>0</v>
      </c>
      <c r="G1069">
        <f>IFERROR(INDEX('01_STAFF'!$F:$F,MATCH(B1069,'01_STAFF'!$A:$A,0))*E1069,0)</f>
        <v/>
      </c>
    </row>
    <row r="1070">
      <c r="A1070" t="inlineStr">
        <is>
          <t>2026-08-24</t>
        </is>
      </c>
      <c r="B1070" t="inlineStr">
        <is>
          <t>S01</t>
        </is>
      </c>
      <c r="C1070" t="inlineStr">
        <is>
          <t>piggery</t>
        </is>
      </c>
      <c r="D1070" t="inlineStr">
        <is>
          <t>Feeding</t>
        </is>
      </c>
      <c r="E1070" t="n">
        <v>8</v>
      </c>
      <c r="F1070" t="n">
        <v>0</v>
      </c>
      <c r="G1070">
        <f>IFERROR(INDEX('01_STAFF'!$F:$F,MATCH(B1070,'01_STAFF'!$A:$A,0))*E1070,0)</f>
        <v/>
      </c>
    </row>
    <row r="1071">
      <c r="A1071" t="inlineStr">
        <is>
          <t>2026-08-24</t>
        </is>
      </c>
      <c r="B1071" t="inlineStr">
        <is>
          <t>S02</t>
        </is>
      </c>
      <c r="C1071" t="inlineStr">
        <is>
          <t>poultry</t>
        </is>
      </c>
      <c r="D1071" t="inlineStr">
        <is>
          <t>Vaccination</t>
        </is>
      </c>
      <c r="E1071" t="n">
        <v>8</v>
      </c>
      <c r="F1071" t="n">
        <v>1</v>
      </c>
      <c r="G1071">
        <f>IFERROR(INDEX('01_STAFF'!$F:$F,MATCH(B1071,'01_STAFF'!$A:$A,0))*E1071,0)</f>
        <v/>
      </c>
    </row>
    <row r="1072">
      <c r="A1072" t="inlineStr">
        <is>
          <t>2026-08-24</t>
        </is>
      </c>
      <c r="B1072" t="inlineStr">
        <is>
          <t>S03</t>
        </is>
      </c>
      <c r="C1072" t="inlineStr">
        <is>
          <t>crops</t>
        </is>
      </c>
      <c r="D1072" t="inlineStr">
        <is>
          <t>Weeding</t>
        </is>
      </c>
      <c r="E1072" t="n">
        <v>8</v>
      </c>
      <c r="F1072" t="n">
        <v>0</v>
      </c>
      <c r="G1072">
        <f>IFERROR(INDEX('01_STAFF'!$F:$F,MATCH(B1072,'01_STAFF'!$A:$A,0))*E1072,0)</f>
        <v/>
      </c>
    </row>
    <row r="1073">
      <c r="A1073" t="inlineStr">
        <is>
          <t>2026-08-24</t>
        </is>
      </c>
      <c r="B1073" t="inlineStr">
        <is>
          <t>S04</t>
        </is>
      </c>
      <c r="C1073" t="inlineStr">
        <is>
          <t>shared</t>
        </is>
      </c>
      <c r="D1073" t="inlineStr">
        <is>
          <t>Maintenance</t>
        </is>
      </c>
      <c r="E1073" t="n">
        <v>6</v>
      </c>
      <c r="F1073" t="n">
        <v>0</v>
      </c>
      <c r="G1073">
        <f>IFERROR(INDEX('01_STAFF'!$F:$F,MATCH(B1073,'01_STAFF'!$A:$A,0))*E1073,0)</f>
        <v/>
      </c>
    </row>
    <row r="1074">
      <c r="A1074" t="inlineStr">
        <is>
          <t>2026-08-25</t>
        </is>
      </c>
      <c r="B1074" t="inlineStr">
        <is>
          <t>S01</t>
        </is>
      </c>
      <c r="C1074" t="inlineStr">
        <is>
          <t>piggery</t>
        </is>
      </c>
      <c r="D1074" t="inlineStr">
        <is>
          <t>Vaccination</t>
        </is>
      </c>
      <c r="E1074" t="n">
        <v>8</v>
      </c>
      <c r="F1074" t="n">
        <v>0</v>
      </c>
      <c r="G1074">
        <f>IFERROR(INDEX('01_STAFF'!$F:$F,MATCH(B1074,'01_STAFF'!$A:$A,0))*E1074,0)</f>
        <v/>
      </c>
    </row>
    <row r="1075">
      <c r="A1075" t="inlineStr">
        <is>
          <t>2026-08-25</t>
        </is>
      </c>
      <c r="B1075" t="inlineStr">
        <is>
          <t>S02</t>
        </is>
      </c>
      <c r="C1075" t="inlineStr">
        <is>
          <t>poultry</t>
        </is>
      </c>
      <c r="D1075" t="inlineStr">
        <is>
          <t>Vaccination</t>
        </is>
      </c>
      <c r="E1075" t="n">
        <v>8</v>
      </c>
      <c r="F1075" t="n">
        <v>0</v>
      </c>
      <c r="G1075">
        <f>IFERROR(INDEX('01_STAFF'!$F:$F,MATCH(B1075,'01_STAFF'!$A:$A,0))*E1075,0)</f>
        <v/>
      </c>
    </row>
    <row r="1076">
      <c r="A1076" t="inlineStr">
        <is>
          <t>2026-08-25</t>
        </is>
      </c>
      <c r="B1076" t="inlineStr">
        <is>
          <t>S03</t>
        </is>
      </c>
      <c r="C1076" t="inlineStr">
        <is>
          <t>crops</t>
        </is>
      </c>
      <c r="D1076" t="inlineStr">
        <is>
          <t>Land prep</t>
        </is>
      </c>
      <c r="E1076" t="n">
        <v>8</v>
      </c>
      <c r="F1076" t="n">
        <v>0</v>
      </c>
      <c r="G1076">
        <f>IFERROR(INDEX('01_STAFF'!$F:$F,MATCH(B1076,'01_STAFF'!$A:$A,0))*E1076,0)</f>
        <v/>
      </c>
    </row>
    <row r="1077">
      <c r="A1077" t="inlineStr">
        <is>
          <t>2026-08-25</t>
        </is>
      </c>
      <c r="B1077" t="inlineStr">
        <is>
          <t>S04</t>
        </is>
      </c>
      <c r="C1077" t="inlineStr">
        <is>
          <t>shared</t>
        </is>
      </c>
      <c r="D1077" t="inlineStr">
        <is>
          <t>Vaccination</t>
        </is>
      </c>
      <c r="E1077" t="n">
        <v>7</v>
      </c>
      <c r="F1077" t="n">
        <v>0</v>
      </c>
      <c r="G1077">
        <f>IFERROR(INDEX('01_STAFF'!$F:$F,MATCH(B1077,'01_STAFF'!$A:$A,0))*E1077,0)</f>
        <v/>
      </c>
    </row>
    <row r="1078">
      <c r="A1078" t="inlineStr">
        <is>
          <t>2026-08-26</t>
        </is>
      </c>
      <c r="B1078" t="inlineStr">
        <is>
          <t>S01</t>
        </is>
      </c>
      <c r="C1078" t="inlineStr">
        <is>
          <t>piggery</t>
        </is>
      </c>
      <c r="D1078" t="inlineStr">
        <is>
          <t>Feeding</t>
        </is>
      </c>
      <c r="E1078" t="n">
        <v>8</v>
      </c>
      <c r="F1078" t="n">
        <v>0</v>
      </c>
      <c r="G1078">
        <f>IFERROR(INDEX('01_STAFF'!$F:$F,MATCH(B1078,'01_STAFF'!$A:$A,0))*E1078,0)</f>
        <v/>
      </c>
    </row>
    <row r="1079">
      <c r="A1079" t="inlineStr">
        <is>
          <t>2026-08-26</t>
        </is>
      </c>
      <c r="B1079" t="inlineStr">
        <is>
          <t>S02</t>
        </is>
      </c>
      <c r="C1079" t="inlineStr">
        <is>
          <t>poultry</t>
        </is>
      </c>
      <c r="D1079" t="inlineStr">
        <is>
          <t>Weighing</t>
        </is>
      </c>
      <c r="E1079" t="n">
        <v>8</v>
      </c>
      <c r="F1079" t="n">
        <v>0</v>
      </c>
      <c r="G1079">
        <f>IFERROR(INDEX('01_STAFF'!$F:$F,MATCH(B1079,'01_STAFF'!$A:$A,0))*E1079,0)</f>
        <v/>
      </c>
    </row>
    <row r="1080">
      <c r="A1080" t="inlineStr">
        <is>
          <t>2026-08-26</t>
        </is>
      </c>
      <c r="B1080" t="inlineStr">
        <is>
          <t>S03</t>
        </is>
      </c>
      <c r="C1080" t="inlineStr">
        <is>
          <t>crops</t>
        </is>
      </c>
      <c r="D1080" t="inlineStr">
        <is>
          <t>Land prep</t>
        </is>
      </c>
      <c r="E1080" t="n">
        <v>8</v>
      </c>
      <c r="F1080" t="n">
        <v>0</v>
      </c>
      <c r="G1080">
        <f>IFERROR(INDEX('01_STAFF'!$F:$F,MATCH(B1080,'01_STAFF'!$A:$A,0))*E1080,0)</f>
        <v/>
      </c>
    </row>
    <row r="1081">
      <c r="A1081" t="inlineStr">
        <is>
          <t>2026-08-26</t>
        </is>
      </c>
      <c r="B1081" t="inlineStr">
        <is>
          <t>S04</t>
        </is>
      </c>
      <c r="C1081" t="inlineStr">
        <is>
          <t>shared</t>
        </is>
      </c>
      <c r="D1081" t="inlineStr">
        <is>
          <t>Marketing</t>
        </is>
      </c>
      <c r="E1081" t="n">
        <v>7</v>
      </c>
      <c r="F1081" t="n">
        <v>0</v>
      </c>
      <c r="G1081">
        <f>IFERROR(INDEX('01_STAFF'!$F:$F,MATCH(B1081,'01_STAFF'!$A:$A,0))*E1081,0)</f>
        <v/>
      </c>
    </row>
    <row r="1082">
      <c r="A1082" t="inlineStr">
        <is>
          <t>2026-08-27</t>
        </is>
      </c>
      <c r="B1082" t="inlineStr">
        <is>
          <t>S01</t>
        </is>
      </c>
      <c r="C1082" t="inlineStr">
        <is>
          <t>piggery</t>
        </is>
      </c>
      <c r="D1082" t="inlineStr">
        <is>
          <t>Weighing</t>
        </is>
      </c>
      <c r="E1082" t="n">
        <v>8</v>
      </c>
      <c r="F1082" t="n">
        <v>0</v>
      </c>
      <c r="G1082">
        <f>IFERROR(INDEX('01_STAFF'!$F:$F,MATCH(B1082,'01_STAFF'!$A:$A,0))*E1082,0)</f>
        <v/>
      </c>
    </row>
    <row r="1083">
      <c r="A1083" t="inlineStr">
        <is>
          <t>2026-08-27</t>
        </is>
      </c>
      <c r="B1083" t="inlineStr">
        <is>
          <t>S02</t>
        </is>
      </c>
      <c r="C1083" t="inlineStr">
        <is>
          <t>poultry</t>
        </is>
      </c>
      <c r="D1083" t="inlineStr">
        <is>
          <t>Cleaning</t>
        </is>
      </c>
      <c r="E1083" t="n">
        <v>8</v>
      </c>
      <c r="F1083" t="n">
        <v>0</v>
      </c>
      <c r="G1083">
        <f>IFERROR(INDEX('01_STAFF'!$F:$F,MATCH(B1083,'01_STAFF'!$A:$A,0))*E1083,0)</f>
        <v/>
      </c>
    </row>
    <row r="1084">
      <c r="A1084" t="inlineStr">
        <is>
          <t>2026-08-27</t>
        </is>
      </c>
      <c r="B1084" t="inlineStr">
        <is>
          <t>S03</t>
        </is>
      </c>
      <c r="C1084" t="inlineStr">
        <is>
          <t>crops</t>
        </is>
      </c>
      <c r="D1084" t="inlineStr">
        <is>
          <t>Weeding</t>
        </is>
      </c>
      <c r="E1084" t="n">
        <v>8</v>
      </c>
      <c r="F1084" t="n">
        <v>0</v>
      </c>
      <c r="G1084">
        <f>IFERROR(INDEX('01_STAFF'!$F:$F,MATCH(B1084,'01_STAFF'!$A:$A,0))*E1084,0)</f>
        <v/>
      </c>
    </row>
    <row r="1085">
      <c r="A1085" t="inlineStr">
        <is>
          <t>2026-08-28</t>
        </is>
      </c>
      <c r="B1085" t="inlineStr">
        <is>
          <t>S01</t>
        </is>
      </c>
      <c r="C1085" t="inlineStr">
        <is>
          <t>piggery</t>
        </is>
      </c>
      <c r="D1085" t="inlineStr">
        <is>
          <t>Weighing</t>
        </is>
      </c>
      <c r="E1085" t="n">
        <v>8</v>
      </c>
      <c r="F1085" t="n">
        <v>0</v>
      </c>
      <c r="G1085">
        <f>IFERROR(INDEX('01_STAFF'!$F:$F,MATCH(B1085,'01_STAFF'!$A:$A,0))*E1085,0)</f>
        <v/>
      </c>
    </row>
    <row r="1086">
      <c r="A1086" t="inlineStr">
        <is>
          <t>2026-08-28</t>
        </is>
      </c>
      <c r="B1086" t="inlineStr">
        <is>
          <t>S02</t>
        </is>
      </c>
      <c r="C1086" t="inlineStr">
        <is>
          <t>poultry</t>
        </is>
      </c>
      <c r="D1086" t="inlineStr">
        <is>
          <t>Cleaning</t>
        </is>
      </c>
      <c r="E1086" t="n">
        <v>8</v>
      </c>
      <c r="F1086" t="n">
        <v>0</v>
      </c>
      <c r="G1086">
        <f>IFERROR(INDEX('01_STAFF'!$F:$F,MATCH(B1086,'01_STAFF'!$A:$A,0))*E1086,0)</f>
        <v/>
      </c>
    </row>
    <row r="1087">
      <c r="A1087" t="inlineStr">
        <is>
          <t>2026-08-28</t>
        </is>
      </c>
      <c r="B1087" t="inlineStr">
        <is>
          <t>S03</t>
        </is>
      </c>
      <c r="C1087" t="inlineStr">
        <is>
          <t>crops</t>
        </is>
      </c>
      <c r="D1087" t="inlineStr">
        <is>
          <t>Maintenance</t>
        </is>
      </c>
      <c r="E1087" t="n">
        <v>8</v>
      </c>
      <c r="F1087" t="n">
        <v>0</v>
      </c>
      <c r="G1087">
        <f>IFERROR(INDEX('01_STAFF'!$F:$F,MATCH(B1087,'01_STAFF'!$A:$A,0))*E1087,0)</f>
        <v/>
      </c>
    </row>
    <row r="1088">
      <c r="A1088" t="inlineStr">
        <is>
          <t>2026-08-28</t>
        </is>
      </c>
      <c r="B1088" t="inlineStr">
        <is>
          <t>S04</t>
        </is>
      </c>
      <c r="C1088" t="inlineStr">
        <is>
          <t>shared</t>
        </is>
      </c>
      <c r="D1088" t="inlineStr">
        <is>
          <t>Maintenance</t>
        </is>
      </c>
      <c r="E1088" t="n">
        <v>6</v>
      </c>
      <c r="F1088" t="n">
        <v>0</v>
      </c>
      <c r="G1088">
        <f>IFERROR(INDEX('01_STAFF'!$F:$F,MATCH(B1088,'01_STAFF'!$A:$A,0))*E1088,0)</f>
        <v/>
      </c>
    </row>
    <row r="1089">
      <c r="A1089" t="inlineStr">
        <is>
          <t>2026-08-29</t>
        </is>
      </c>
      <c r="B1089" t="inlineStr">
        <is>
          <t>S01</t>
        </is>
      </c>
      <c r="C1089" t="inlineStr">
        <is>
          <t>piggery</t>
        </is>
      </c>
      <c r="D1089" t="inlineStr">
        <is>
          <t>Feeding</t>
        </is>
      </c>
      <c r="E1089" t="n">
        <v>8</v>
      </c>
      <c r="F1089" t="n">
        <v>0</v>
      </c>
      <c r="G1089">
        <f>IFERROR(INDEX('01_STAFF'!$F:$F,MATCH(B1089,'01_STAFF'!$A:$A,0))*E1089,0)</f>
        <v/>
      </c>
    </row>
    <row r="1090">
      <c r="A1090" t="inlineStr">
        <is>
          <t>2026-08-29</t>
        </is>
      </c>
      <c r="B1090" t="inlineStr">
        <is>
          <t>S02</t>
        </is>
      </c>
      <c r="C1090" t="inlineStr">
        <is>
          <t>poultry</t>
        </is>
      </c>
      <c r="D1090" t="inlineStr">
        <is>
          <t>Vaccination</t>
        </is>
      </c>
      <c r="E1090" t="n">
        <v>8</v>
      </c>
      <c r="F1090" t="n">
        <v>0</v>
      </c>
      <c r="G1090">
        <f>IFERROR(INDEX('01_STAFF'!$F:$F,MATCH(B1090,'01_STAFF'!$A:$A,0))*E1090,0)</f>
        <v/>
      </c>
    </row>
    <row r="1091">
      <c r="A1091" t="inlineStr">
        <is>
          <t>2026-08-29</t>
        </is>
      </c>
      <c r="B1091" t="inlineStr">
        <is>
          <t>S03</t>
        </is>
      </c>
      <c r="C1091" t="inlineStr">
        <is>
          <t>crops</t>
        </is>
      </c>
      <c r="D1091" t="inlineStr">
        <is>
          <t>Spraying</t>
        </is>
      </c>
      <c r="E1091" t="n">
        <v>8</v>
      </c>
      <c r="F1091" t="n">
        <v>0</v>
      </c>
      <c r="G1091">
        <f>IFERROR(INDEX('01_STAFF'!$F:$F,MATCH(B1091,'01_STAFF'!$A:$A,0))*E1091,0)</f>
        <v/>
      </c>
    </row>
    <row r="1092">
      <c r="A1092" t="inlineStr">
        <is>
          <t>2026-08-29</t>
        </is>
      </c>
      <c r="B1092" t="inlineStr">
        <is>
          <t>S04</t>
        </is>
      </c>
      <c r="C1092" t="inlineStr">
        <is>
          <t>shared</t>
        </is>
      </c>
      <c r="D1092" t="inlineStr">
        <is>
          <t>Vaccination</t>
        </is>
      </c>
      <c r="E1092" t="n">
        <v>5</v>
      </c>
      <c r="F1092" t="n">
        <v>0</v>
      </c>
      <c r="G1092">
        <f>IFERROR(INDEX('01_STAFF'!$F:$F,MATCH(B1092,'01_STAFF'!$A:$A,0))*E1092,0)</f>
        <v/>
      </c>
    </row>
    <row r="1093">
      <c r="A1093" t="inlineStr">
        <is>
          <t>2026-08-31</t>
        </is>
      </c>
      <c r="B1093" t="inlineStr">
        <is>
          <t>S01</t>
        </is>
      </c>
      <c r="C1093" t="inlineStr">
        <is>
          <t>piggery</t>
        </is>
      </c>
      <c r="D1093" t="inlineStr">
        <is>
          <t>Cleaning</t>
        </is>
      </c>
      <c r="E1093" t="n">
        <v>8</v>
      </c>
      <c r="F1093" t="n">
        <v>0</v>
      </c>
      <c r="G1093">
        <f>IFERROR(INDEX('01_STAFF'!$F:$F,MATCH(B1093,'01_STAFF'!$A:$A,0))*E1093,0)</f>
        <v/>
      </c>
    </row>
    <row r="1094">
      <c r="A1094" t="inlineStr">
        <is>
          <t>2026-08-31</t>
        </is>
      </c>
      <c r="B1094" t="inlineStr">
        <is>
          <t>S03</t>
        </is>
      </c>
      <c r="C1094" t="inlineStr">
        <is>
          <t>crops</t>
        </is>
      </c>
      <c r="D1094" t="inlineStr">
        <is>
          <t>Weeding</t>
        </is>
      </c>
      <c r="E1094" t="n">
        <v>8</v>
      </c>
      <c r="F1094" t="n">
        <v>0</v>
      </c>
      <c r="G1094">
        <f>IFERROR(INDEX('01_STAFF'!$F:$F,MATCH(B1094,'01_STAFF'!$A:$A,0))*E1094,0)</f>
        <v/>
      </c>
    </row>
    <row r="1095">
      <c r="A1095" t="inlineStr">
        <is>
          <t>2026-08-31</t>
        </is>
      </c>
      <c r="B1095" t="inlineStr">
        <is>
          <t>S04</t>
        </is>
      </c>
      <c r="C1095" t="inlineStr">
        <is>
          <t>shared</t>
        </is>
      </c>
      <c r="D1095" t="inlineStr">
        <is>
          <t>Vaccination</t>
        </is>
      </c>
      <c r="E1095" t="n">
        <v>7</v>
      </c>
      <c r="F1095" t="n">
        <v>0</v>
      </c>
      <c r="G1095">
        <f>IFERROR(INDEX('01_STAFF'!$F:$F,MATCH(B1095,'01_STAFF'!$A:$A,0))*E1095,0)</f>
        <v/>
      </c>
    </row>
    <row r="1096">
      <c r="A1096" t="inlineStr">
        <is>
          <t>2026-09-01</t>
        </is>
      </c>
      <c r="B1096" t="inlineStr">
        <is>
          <t>S01</t>
        </is>
      </c>
      <c r="C1096" t="inlineStr">
        <is>
          <t>piggery</t>
        </is>
      </c>
      <c r="D1096" t="inlineStr">
        <is>
          <t>Feeding</t>
        </is>
      </c>
      <c r="E1096" t="n">
        <v>8</v>
      </c>
      <c r="F1096" t="n">
        <v>0</v>
      </c>
      <c r="G1096">
        <f>IFERROR(INDEX('01_STAFF'!$F:$F,MATCH(B1096,'01_STAFF'!$A:$A,0))*E1096,0)</f>
        <v/>
      </c>
    </row>
    <row r="1097">
      <c r="A1097" t="inlineStr">
        <is>
          <t>2026-09-01</t>
        </is>
      </c>
      <c r="B1097" t="inlineStr">
        <is>
          <t>S02</t>
        </is>
      </c>
      <c r="C1097" t="inlineStr">
        <is>
          <t>poultry</t>
        </is>
      </c>
      <c r="D1097" t="inlineStr">
        <is>
          <t>Vaccination</t>
        </is>
      </c>
      <c r="E1097" t="n">
        <v>8</v>
      </c>
      <c r="F1097" t="n">
        <v>0</v>
      </c>
      <c r="G1097">
        <f>IFERROR(INDEX('01_STAFF'!$F:$F,MATCH(B1097,'01_STAFF'!$A:$A,0))*E1097,0)</f>
        <v/>
      </c>
    </row>
    <row r="1098">
      <c r="A1098" t="inlineStr">
        <is>
          <t>2026-09-01</t>
        </is>
      </c>
      <c r="B1098" t="inlineStr">
        <is>
          <t>S03</t>
        </is>
      </c>
      <c r="C1098" t="inlineStr">
        <is>
          <t>crops</t>
        </is>
      </c>
      <c r="D1098" t="inlineStr">
        <is>
          <t>Harvest</t>
        </is>
      </c>
      <c r="E1098" t="n">
        <v>8</v>
      </c>
      <c r="F1098" t="n">
        <v>1</v>
      </c>
      <c r="G1098">
        <f>IFERROR(INDEX('01_STAFF'!$F:$F,MATCH(B1098,'01_STAFF'!$A:$A,0))*E1098,0)</f>
        <v/>
      </c>
    </row>
    <row r="1099">
      <c r="A1099" t="inlineStr">
        <is>
          <t>2026-09-01</t>
        </is>
      </c>
      <c r="B1099" t="inlineStr">
        <is>
          <t>S04</t>
        </is>
      </c>
      <c r="C1099" t="inlineStr">
        <is>
          <t>shared</t>
        </is>
      </c>
      <c r="D1099" t="inlineStr">
        <is>
          <t>Vaccination</t>
        </is>
      </c>
      <c r="E1099" t="n">
        <v>6</v>
      </c>
      <c r="F1099" t="n">
        <v>0</v>
      </c>
      <c r="G1099">
        <f>IFERROR(INDEX('01_STAFF'!$F:$F,MATCH(B1099,'01_STAFF'!$A:$A,0))*E1099,0)</f>
        <v/>
      </c>
    </row>
    <row r="1100">
      <c r="A1100" t="inlineStr">
        <is>
          <t>2026-09-02</t>
        </is>
      </c>
      <c r="B1100" t="inlineStr">
        <is>
          <t>S01</t>
        </is>
      </c>
      <c r="C1100" t="inlineStr">
        <is>
          <t>piggery</t>
        </is>
      </c>
      <c r="D1100" t="inlineStr">
        <is>
          <t>Vaccination</t>
        </is>
      </c>
      <c r="E1100" t="n">
        <v>8</v>
      </c>
      <c r="F1100" t="n">
        <v>1</v>
      </c>
      <c r="G1100">
        <f>IFERROR(INDEX('01_STAFF'!$F:$F,MATCH(B1100,'01_STAFF'!$A:$A,0))*E1100,0)</f>
        <v/>
      </c>
    </row>
    <row r="1101">
      <c r="A1101" t="inlineStr">
        <is>
          <t>2026-09-02</t>
        </is>
      </c>
      <c r="B1101" t="inlineStr">
        <is>
          <t>S02</t>
        </is>
      </c>
      <c r="C1101" t="inlineStr">
        <is>
          <t>poultry</t>
        </is>
      </c>
      <c r="D1101" t="inlineStr">
        <is>
          <t>Feeding</t>
        </is>
      </c>
      <c r="E1101" t="n">
        <v>8</v>
      </c>
      <c r="F1101" t="n">
        <v>0</v>
      </c>
      <c r="G1101">
        <f>IFERROR(INDEX('01_STAFF'!$F:$F,MATCH(B1101,'01_STAFF'!$A:$A,0))*E1101,0)</f>
        <v/>
      </c>
    </row>
    <row r="1102">
      <c r="A1102" t="inlineStr">
        <is>
          <t>2026-09-02</t>
        </is>
      </c>
      <c r="B1102" t="inlineStr">
        <is>
          <t>S03</t>
        </is>
      </c>
      <c r="C1102" t="inlineStr">
        <is>
          <t>crops</t>
        </is>
      </c>
      <c r="D1102" t="inlineStr">
        <is>
          <t>Harvest</t>
        </is>
      </c>
      <c r="E1102" t="n">
        <v>8</v>
      </c>
      <c r="F1102" t="n">
        <v>0</v>
      </c>
      <c r="G1102">
        <f>IFERROR(INDEX('01_STAFF'!$F:$F,MATCH(B1102,'01_STAFF'!$A:$A,0))*E1102,0)</f>
        <v/>
      </c>
    </row>
    <row r="1103">
      <c r="A1103" t="inlineStr">
        <is>
          <t>2026-09-02</t>
        </is>
      </c>
      <c r="B1103" t="inlineStr">
        <is>
          <t>S04</t>
        </is>
      </c>
      <c r="C1103" t="inlineStr">
        <is>
          <t>shared</t>
        </is>
      </c>
      <c r="D1103" t="inlineStr">
        <is>
          <t>Weighing</t>
        </is>
      </c>
      <c r="E1103" t="n">
        <v>6</v>
      </c>
      <c r="F1103" t="n">
        <v>0</v>
      </c>
      <c r="G1103">
        <f>IFERROR(INDEX('01_STAFF'!$F:$F,MATCH(B1103,'01_STAFF'!$A:$A,0))*E1103,0)</f>
        <v/>
      </c>
    </row>
    <row r="1104">
      <c r="A1104" t="inlineStr">
        <is>
          <t>2026-09-03</t>
        </is>
      </c>
      <c r="B1104" t="inlineStr">
        <is>
          <t>S01</t>
        </is>
      </c>
      <c r="C1104" t="inlineStr">
        <is>
          <t>piggery</t>
        </is>
      </c>
      <c r="D1104" t="inlineStr">
        <is>
          <t>Cleaning</t>
        </is>
      </c>
      <c r="E1104" t="n">
        <v>8</v>
      </c>
      <c r="F1104" t="n">
        <v>0</v>
      </c>
      <c r="G1104">
        <f>IFERROR(INDEX('01_STAFF'!$F:$F,MATCH(B1104,'01_STAFF'!$A:$A,0))*E1104,0)</f>
        <v/>
      </c>
    </row>
    <row r="1105">
      <c r="A1105" t="inlineStr">
        <is>
          <t>2026-09-03</t>
        </is>
      </c>
      <c r="B1105" t="inlineStr">
        <is>
          <t>S02</t>
        </is>
      </c>
      <c r="C1105" t="inlineStr">
        <is>
          <t>poultry</t>
        </is>
      </c>
      <c r="D1105" t="inlineStr">
        <is>
          <t>Feeding</t>
        </is>
      </c>
      <c r="E1105" t="n">
        <v>8</v>
      </c>
      <c r="F1105" t="n">
        <v>0</v>
      </c>
      <c r="G1105">
        <f>IFERROR(INDEX('01_STAFF'!$F:$F,MATCH(B1105,'01_STAFF'!$A:$A,0))*E1105,0)</f>
        <v/>
      </c>
    </row>
    <row r="1106">
      <c r="A1106" t="inlineStr">
        <is>
          <t>2026-09-03</t>
        </is>
      </c>
      <c r="B1106" t="inlineStr">
        <is>
          <t>S03</t>
        </is>
      </c>
      <c r="C1106" t="inlineStr">
        <is>
          <t>crops</t>
        </is>
      </c>
      <c r="D1106" t="inlineStr">
        <is>
          <t>Land prep</t>
        </is>
      </c>
      <c r="E1106" t="n">
        <v>8</v>
      </c>
      <c r="F1106" t="n">
        <v>0</v>
      </c>
      <c r="G1106">
        <f>IFERROR(INDEX('01_STAFF'!$F:$F,MATCH(B1106,'01_STAFF'!$A:$A,0))*E1106,0)</f>
        <v/>
      </c>
    </row>
    <row r="1107">
      <c r="A1107" t="inlineStr">
        <is>
          <t>2026-09-03</t>
        </is>
      </c>
      <c r="B1107" t="inlineStr">
        <is>
          <t>S04</t>
        </is>
      </c>
      <c r="C1107" t="inlineStr">
        <is>
          <t>shared</t>
        </is>
      </c>
      <c r="D1107" t="inlineStr">
        <is>
          <t>Marketing</t>
        </is>
      </c>
      <c r="E1107" t="n">
        <v>6</v>
      </c>
      <c r="F1107" t="n">
        <v>0</v>
      </c>
      <c r="G1107">
        <f>IFERROR(INDEX('01_STAFF'!$F:$F,MATCH(B1107,'01_STAFF'!$A:$A,0))*E1107,0)</f>
        <v/>
      </c>
    </row>
    <row r="1108">
      <c r="A1108" t="inlineStr">
        <is>
          <t>2026-09-04</t>
        </is>
      </c>
      <c r="B1108" t="inlineStr">
        <is>
          <t>S01</t>
        </is>
      </c>
      <c r="C1108" t="inlineStr">
        <is>
          <t>piggery</t>
        </is>
      </c>
      <c r="D1108" t="inlineStr">
        <is>
          <t>Cleaning</t>
        </is>
      </c>
      <c r="E1108" t="n">
        <v>8</v>
      </c>
      <c r="F1108" t="n">
        <v>0</v>
      </c>
      <c r="G1108">
        <f>IFERROR(INDEX('01_STAFF'!$F:$F,MATCH(B1108,'01_STAFF'!$A:$A,0))*E1108,0)</f>
        <v/>
      </c>
    </row>
    <row r="1109">
      <c r="A1109" t="inlineStr">
        <is>
          <t>2026-09-04</t>
        </is>
      </c>
      <c r="B1109" t="inlineStr">
        <is>
          <t>S02</t>
        </is>
      </c>
      <c r="C1109" t="inlineStr">
        <is>
          <t>poultry</t>
        </is>
      </c>
      <c r="D1109" t="inlineStr">
        <is>
          <t>Vaccination</t>
        </is>
      </c>
      <c r="E1109" t="n">
        <v>8</v>
      </c>
      <c r="F1109" t="n">
        <v>0</v>
      </c>
      <c r="G1109">
        <f>IFERROR(INDEX('01_STAFF'!$F:$F,MATCH(B1109,'01_STAFF'!$A:$A,0))*E1109,0)</f>
        <v/>
      </c>
    </row>
    <row r="1110">
      <c r="A1110" t="inlineStr">
        <is>
          <t>2026-09-04</t>
        </is>
      </c>
      <c r="B1110" t="inlineStr">
        <is>
          <t>S04</t>
        </is>
      </c>
      <c r="C1110" t="inlineStr">
        <is>
          <t>shared</t>
        </is>
      </c>
      <c r="D1110" t="inlineStr">
        <is>
          <t>Vaccination</t>
        </is>
      </c>
      <c r="E1110" t="n">
        <v>6</v>
      </c>
      <c r="F1110" t="n">
        <v>0</v>
      </c>
      <c r="G1110">
        <f>IFERROR(INDEX('01_STAFF'!$F:$F,MATCH(B1110,'01_STAFF'!$A:$A,0))*E1110,0)</f>
        <v/>
      </c>
    </row>
    <row r="1111">
      <c r="A1111" t="inlineStr">
        <is>
          <t>2026-09-05</t>
        </is>
      </c>
      <c r="B1111" t="inlineStr">
        <is>
          <t>S01</t>
        </is>
      </c>
      <c r="C1111" t="inlineStr">
        <is>
          <t>piggery</t>
        </is>
      </c>
      <c r="D1111" t="inlineStr">
        <is>
          <t>Vaccination</t>
        </is>
      </c>
      <c r="E1111" t="n">
        <v>8</v>
      </c>
      <c r="F1111" t="n">
        <v>0</v>
      </c>
      <c r="G1111">
        <f>IFERROR(INDEX('01_STAFF'!$F:$F,MATCH(B1111,'01_STAFF'!$A:$A,0))*E1111,0)</f>
        <v/>
      </c>
    </row>
    <row r="1112">
      <c r="A1112" t="inlineStr">
        <is>
          <t>2026-09-05</t>
        </is>
      </c>
      <c r="B1112" t="inlineStr">
        <is>
          <t>S02</t>
        </is>
      </c>
      <c r="C1112" t="inlineStr">
        <is>
          <t>poultry</t>
        </is>
      </c>
      <c r="D1112" t="inlineStr">
        <is>
          <t>Vaccination</t>
        </is>
      </c>
      <c r="E1112" t="n">
        <v>8</v>
      </c>
      <c r="F1112" t="n">
        <v>0</v>
      </c>
      <c r="G1112">
        <f>IFERROR(INDEX('01_STAFF'!$F:$F,MATCH(B1112,'01_STAFF'!$A:$A,0))*E1112,0)</f>
        <v/>
      </c>
    </row>
    <row r="1113">
      <c r="A1113" t="inlineStr">
        <is>
          <t>2026-09-05</t>
        </is>
      </c>
      <c r="B1113" t="inlineStr">
        <is>
          <t>S03</t>
        </is>
      </c>
      <c r="C1113" t="inlineStr">
        <is>
          <t>crops</t>
        </is>
      </c>
      <c r="D1113" t="inlineStr">
        <is>
          <t>Weeding</t>
        </is>
      </c>
      <c r="E1113" t="n">
        <v>8</v>
      </c>
      <c r="F1113" t="n">
        <v>0</v>
      </c>
      <c r="G1113">
        <f>IFERROR(INDEX('01_STAFF'!$F:$F,MATCH(B1113,'01_STAFF'!$A:$A,0))*E1113,0)</f>
        <v/>
      </c>
    </row>
    <row r="1114">
      <c r="A1114" t="inlineStr">
        <is>
          <t>2026-09-05</t>
        </is>
      </c>
      <c r="B1114" t="inlineStr">
        <is>
          <t>S04</t>
        </is>
      </c>
      <c r="C1114" t="inlineStr">
        <is>
          <t>shared</t>
        </is>
      </c>
      <c r="D1114" t="inlineStr">
        <is>
          <t>Maintenance</t>
        </is>
      </c>
      <c r="E1114" t="n">
        <v>7</v>
      </c>
      <c r="F1114" t="n">
        <v>0</v>
      </c>
      <c r="G1114">
        <f>IFERROR(INDEX('01_STAFF'!$F:$F,MATCH(B1114,'01_STAFF'!$A:$A,0))*E1114,0)</f>
        <v/>
      </c>
    </row>
    <row r="1115">
      <c r="A1115" t="inlineStr">
        <is>
          <t>2026-09-07</t>
        </is>
      </c>
      <c r="B1115" t="inlineStr">
        <is>
          <t>S01</t>
        </is>
      </c>
      <c r="C1115" t="inlineStr">
        <is>
          <t>piggery</t>
        </is>
      </c>
      <c r="D1115" t="inlineStr">
        <is>
          <t>Vaccination</t>
        </is>
      </c>
      <c r="E1115" t="n">
        <v>8</v>
      </c>
      <c r="F1115" t="n">
        <v>0</v>
      </c>
      <c r="G1115">
        <f>IFERROR(INDEX('01_STAFF'!$F:$F,MATCH(B1115,'01_STAFF'!$A:$A,0))*E1115,0)</f>
        <v/>
      </c>
    </row>
    <row r="1116">
      <c r="A1116" t="inlineStr">
        <is>
          <t>2026-09-07</t>
        </is>
      </c>
      <c r="B1116" t="inlineStr">
        <is>
          <t>S02</t>
        </is>
      </c>
      <c r="C1116" t="inlineStr">
        <is>
          <t>poultry</t>
        </is>
      </c>
      <c r="D1116" t="inlineStr">
        <is>
          <t>Feeding</t>
        </is>
      </c>
      <c r="E1116" t="n">
        <v>8</v>
      </c>
      <c r="F1116" t="n">
        <v>0</v>
      </c>
      <c r="G1116">
        <f>IFERROR(INDEX('01_STAFF'!$F:$F,MATCH(B1116,'01_STAFF'!$A:$A,0))*E1116,0)</f>
        <v/>
      </c>
    </row>
    <row r="1117">
      <c r="A1117" t="inlineStr">
        <is>
          <t>2026-09-07</t>
        </is>
      </c>
      <c r="B1117" t="inlineStr">
        <is>
          <t>S03</t>
        </is>
      </c>
      <c r="C1117" t="inlineStr">
        <is>
          <t>crops</t>
        </is>
      </c>
      <c r="D1117" t="inlineStr">
        <is>
          <t>Maintenance</t>
        </is>
      </c>
      <c r="E1117" t="n">
        <v>8</v>
      </c>
      <c r="F1117" t="n">
        <v>0</v>
      </c>
      <c r="G1117">
        <f>IFERROR(INDEX('01_STAFF'!$F:$F,MATCH(B1117,'01_STAFF'!$A:$A,0))*E1117,0)</f>
        <v/>
      </c>
    </row>
    <row r="1118">
      <c r="A1118" t="inlineStr">
        <is>
          <t>2026-09-07</t>
        </is>
      </c>
      <c r="B1118" t="inlineStr">
        <is>
          <t>S04</t>
        </is>
      </c>
      <c r="C1118" t="inlineStr">
        <is>
          <t>shared</t>
        </is>
      </c>
      <c r="D1118" t="inlineStr">
        <is>
          <t>Weighing</t>
        </is>
      </c>
      <c r="E1118" t="n">
        <v>5</v>
      </c>
      <c r="F1118" t="n">
        <v>0</v>
      </c>
      <c r="G1118">
        <f>IFERROR(INDEX('01_STAFF'!$F:$F,MATCH(B1118,'01_STAFF'!$A:$A,0))*E1118,0)</f>
        <v/>
      </c>
    </row>
    <row r="1119">
      <c r="A1119" t="inlineStr">
        <is>
          <t>2026-09-08</t>
        </is>
      </c>
      <c r="B1119" t="inlineStr">
        <is>
          <t>S01</t>
        </is>
      </c>
      <c r="C1119" t="inlineStr">
        <is>
          <t>piggery</t>
        </is>
      </c>
      <c r="D1119" t="inlineStr">
        <is>
          <t>Cleaning</t>
        </is>
      </c>
      <c r="E1119" t="n">
        <v>8</v>
      </c>
      <c r="F1119" t="n">
        <v>0</v>
      </c>
      <c r="G1119">
        <f>IFERROR(INDEX('01_STAFF'!$F:$F,MATCH(B1119,'01_STAFF'!$A:$A,0))*E1119,0)</f>
        <v/>
      </c>
    </row>
    <row r="1120">
      <c r="A1120" t="inlineStr">
        <is>
          <t>2026-09-08</t>
        </is>
      </c>
      <c r="B1120" t="inlineStr">
        <is>
          <t>S02</t>
        </is>
      </c>
      <c r="C1120" t="inlineStr">
        <is>
          <t>poultry</t>
        </is>
      </c>
      <c r="D1120" t="inlineStr">
        <is>
          <t>Vaccination</t>
        </is>
      </c>
      <c r="E1120" t="n">
        <v>8</v>
      </c>
      <c r="F1120" t="n">
        <v>0</v>
      </c>
      <c r="G1120">
        <f>IFERROR(INDEX('01_STAFF'!$F:$F,MATCH(B1120,'01_STAFF'!$A:$A,0))*E1120,0)</f>
        <v/>
      </c>
    </row>
    <row r="1121">
      <c r="A1121" t="inlineStr">
        <is>
          <t>2026-09-08</t>
        </is>
      </c>
      <c r="B1121" t="inlineStr">
        <is>
          <t>S03</t>
        </is>
      </c>
      <c r="C1121" t="inlineStr">
        <is>
          <t>crops</t>
        </is>
      </c>
      <c r="D1121" t="inlineStr">
        <is>
          <t>Spraying</t>
        </is>
      </c>
      <c r="E1121" t="n">
        <v>8</v>
      </c>
      <c r="F1121" t="n">
        <v>1</v>
      </c>
      <c r="G1121">
        <f>IFERROR(INDEX('01_STAFF'!$F:$F,MATCH(B1121,'01_STAFF'!$A:$A,0))*E1121,0)</f>
        <v/>
      </c>
    </row>
    <row r="1122">
      <c r="A1122" t="inlineStr">
        <is>
          <t>2026-09-08</t>
        </is>
      </c>
      <c r="B1122" t="inlineStr">
        <is>
          <t>S04</t>
        </is>
      </c>
      <c r="C1122" t="inlineStr">
        <is>
          <t>shared</t>
        </is>
      </c>
      <c r="D1122" t="inlineStr">
        <is>
          <t>Marketing</t>
        </is>
      </c>
      <c r="E1122" t="n">
        <v>6</v>
      </c>
      <c r="F1122" t="n">
        <v>0</v>
      </c>
      <c r="G1122">
        <f>IFERROR(INDEX('01_STAFF'!$F:$F,MATCH(B1122,'01_STAFF'!$A:$A,0))*E1122,0)</f>
        <v/>
      </c>
    </row>
    <row r="1123">
      <c r="A1123" t="inlineStr">
        <is>
          <t>2026-09-09</t>
        </is>
      </c>
      <c r="B1123" t="inlineStr">
        <is>
          <t>S01</t>
        </is>
      </c>
      <c r="C1123" t="inlineStr">
        <is>
          <t>piggery</t>
        </is>
      </c>
      <c r="D1123" t="inlineStr">
        <is>
          <t>Vaccination</t>
        </is>
      </c>
      <c r="E1123" t="n">
        <v>8</v>
      </c>
      <c r="F1123" t="n">
        <v>1</v>
      </c>
      <c r="G1123">
        <f>IFERROR(INDEX('01_STAFF'!$F:$F,MATCH(B1123,'01_STAFF'!$A:$A,0))*E1123,0)</f>
        <v/>
      </c>
    </row>
    <row r="1124">
      <c r="A1124" t="inlineStr">
        <is>
          <t>2026-09-09</t>
        </is>
      </c>
      <c r="B1124" t="inlineStr">
        <is>
          <t>S02</t>
        </is>
      </c>
      <c r="C1124" t="inlineStr">
        <is>
          <t>poultry</t>
        </is>
      </c>
      <c r="D1124" t="inlineStr">
        <is>
          <t>Feeding</t>
        </is>
      </c>
      <c r="E1124" t="n">
        <v>8</v>
      </c>
      <c r="F1124" t="n">
        <v>0</v>
      </c>
      <c r="G1124">
        <f>IFERROR(INDEX('01_STAFF'!$F:$F,MATCH(B1124,'01_STAFF'!$A:$A,0))*E1124,0)</f>
        <v/>
      </c>
    </row>
    <row r="1125">
      <c r="A1125" t="inlineStr">
        <is>
          <t>2026-09-09</t>
        </is>
      </c>
      <c r="B1125" t="inlineStr">
        <is>
          <t>S03</t>
        </is>
      </c>
      <c r="C1125" t="inlineStr">
        <is>
          <t>crops</t>
        </is>
      </c>
      <c r="D1125" t="inlineStr">
        <is>
          <t>Land prep</t>
        </is>
      </c>
      <c r="E1125" t="n">
        <v>8</v>
      </c>
      <c r="F1125" t="n">
        <v>0</v>
      </c>
      <c r="G1125">
        <f>IFERROR(INDEX('01_STAFF'!$F:$F,MATCH(B1125,'01_STAFF'!$A:$A,0))*E1125,0)</f>
        <v/>
      </c>
    </row>
    <row r="1126">
      <c r="A1126" t="inlineStr">
        <is>
          <t>2026-09-09</t>
        </is>
      </c>
      <c r="B1126" t="inlineStr">
        <is>
          <t>S04</t>
        </is>
      </c>
      <c r="C1126" t="inlineStr">
        <is>
          <t>shared</t>
        </is>
      </c>
      <c r="D1126" t="inlineStr">
        <is>
          <t>Marketing</t>
        </is>
      </c>
      <c r="E1126" t="n">
        <v>5</v>
      </c>
      <c r="F1126" t="n">
        <v>0</v>
      </c>
      <c r="G1126">
        <f>IFERROR(INDEX('01_STAFF'!$F:$F,MATCH(B1126,'01_STAFF'!$A:$A,0))*E1126,0)</f>
        <v/>
      </c>
    </row>
    <row r="1127">
      <c r="A1127" t="inlineStr">
        <is>
          <t>2026-09-10</t>
        </is>
      </c>
      <c r="B1127" t="inlineStr">
        <is>
          <t>S01</t>
        </is>
      </c>
      <c r="C1127" t="inlineStr">
        <is>
          <t>piggery</t>
        </is>
      </c>
      <c r="D1127" t="inlineStr">
        <is>
          <t>Feeding</t>
        </is>
      </c>
      <c r="E1127" t="n">
        <v>8</v>
      </c>
      <c r="F1127" t="n">
        <v>0</v>
      </c>
      <c r="G1127">
        <f>IFERROR(INDEX('01_STAFF'!$F:$F,MATCH(B1127,'01_STAFF'!$A:$A,0))*E1127,0)</f>
        <v/>
      </c>
    </row>
    <row r="1128">
      <c r="A1128" t="inlineStr">
        <is>
          <t>2026-09-10</t>
        </is>
      </c>
      <c r="B1128" t="inlineStr">
        <is>
          <t>S02</t>
        </is>
      </c>
      <c r="C1128" t="inlineStr">
        <is>
          <t>poultry</t>
        </is>
      </c>
      <c r="D1128" t="inlineStr">
        <is>
          <t>Cleaning</t>
        </is>
      </c>
      <c r="E1128" t="n">
        <v>8</v>
      </c>
      <c r="F1128" t="n">
        <v>1</v>
      </c>
      <c r="G1128">
        <f>IFERROR(INDEX('01_STAFF'!$F:$F,MATCH(B1128,'01_STAFF'!$A:$A,0))*E1128,0)</f>
        <v/>
      </c>
    </row>
    <row r="1129">
      <c r="A1129" t="inlineStr">
        <is>
          <t>2026-09-10</t>
        </is>
      </c>
      <c r="B1129" t="inlineStr">
        <is>
          <t>S03</t>
        </is>
      </c>
      <c r="C1129" t="inlineStr">
        <is>
          <t>crops</t>
        </is>
      </c>
      <c r="D1129" t="inlineStr">
        <is>
          <t>Land prep</t>
        </is>
      </c>
      <c r="E1129" t="n">
        <v>8</v>
      </c>
      <c r="F1129" t="n">
        <v>1</v>
      </c>
      <c r="G1129">
        <f>IFERROR(INDEX('01_STAFF'!$F:$F,MATCH(B1129,'01_STAFF'!$A:$A,0))*E1129,0)</f>
        <v/>
      </c>
    </row>
    <row r="1130">
      <c r="A1130" t="inlineStr">
        <is>
          <t>2026-09-10</t>
        </is>
      </c>
      <c r="B1130" t="inlineStr">
        <is>
          <t>S04</t>
        </is>
      </c>
      <c r="C1130" t="inlineStr">
        <is>
          <t>shared</t>
        </is>
      </c>
      <c r="D1130" t="inlineStr">
        <is>
          <t>Vaccination</t>
        </is>
      </c>
      <c r="E1130" t="n">
        <v>6</v>
      </c>
      <c r="F1130" t="n">
        <v>0</v>
      </c>
      <c r="G1130">
        <f>IFERROR(INDEX('01_STAFF'!$F:$F,MATCH(B1130,'01_STAFF'!$A:$A,0))*E1130,0)</f>
        <v/>
      </c>
    </row>
    <row r="1131">
      <c r="A1131" t="inlineStr">
        <is>
          <t>2026-09-11</t>
        </is>
      </c>
      <c r="B1131" t="inlineStr">
        <is>
          <t>S01</t>
        </is>
      </c>
      <c r="C1131" t="inlineStr">
        <is>
          <t>piggery</t>
        </is>
      </c>
      <c r="D1131" t="inlineStr">
        <is>
          <t>Feeding</t>
        </is>
      </c>
      <c r="E1131" t="n">
        <v>8</v>
      </c>
      <c r="F1131" t="n">
        <v>0</v>
      </c>
      <c r="G1131">
        <f>IFERROR(INDEX('01_STAFF'!$F:$F,MATCH(B1131,'01_STAFF'!$A:$A,0))*E1131,0)</f>
        <v/>
      </c>
    </row>
    <row r="1132">
      <c r="A1132" t="inlineStr">
        <is>
          <t>2026-09-11</t>
        </is>
      </c>
      <c r="B1132" t="inlineStr">
        <is>
          <t>S03</t>
        </is>
      </c>
      <c r="C1132" t="inlineStr">
        <is>
          <t>crops</t>
        </is>
      </c>
      <c r="D1132" t="inlineStr">
        <is>
          <t>Spraying</t>
        </is>
      </c>
      <c r="E1132" t="n">
        <v>8</v>
      </c>
      <c r="F1132" t="n">
        <v>0</v>
      </c>
      <c r="G1132">
        <f>IFERROR(INDEX('01_STAFF'!$F:$F,MATCH(B1132,'01_STAFF'!$A:$A,0))*E1132,0)</f>
        <v/>
      </c>
    </row>
    <row r="1133">
      <c r="A1133" t="inlineStr">
        <is>
          <t>2026-09-11</t>
        </is>
      </c>
      <c r="B1133" t="inlineStr">
        <is>
          <t>S04</t>
        </is>
      </c>
      <c r="C1133" t="inlineStr">
        <is>
          <t>shared</t>
        </is>
      </c>
      <c r="D1133" t="inlineStr">
        <is>
          <t>Weighing</t>
        </is>
      </c>
      <c r="E1133" t="n">
        <v>6</v>
      </c>
      <c r="F1133" t="n">
        <v>0</v>
      </c>
      <c r="G1133">
        <f>IFERROR(INDEX('01_STAFF'!$F:$F,MATCH(B1133,'01_STAFF'!$A:$A,0))*E1133,0)</f>
        <v/>
      </c>
    </row>
    <row r="1134">
      <c r="A1134" t="inlineStr">
        <is>
          <t>2026-09-12</t>
        </is>
      </c>
      <c r="B1134" t="inlineStr">
        <is>
          <t>S01</t>
        </is>
      </c>
      <c r="C1134" t="inlineStr">
        <is>
          <t>piggery</t>
        </is>
      </c>
      <c r="D1134" t="inlineStr">
        <is>
          <t>Weighing</t>
        </is>
      </c>
      <c r="E1134" t="n">
        <v>8</v>
      </c>
      <c r="F1134" t="n">
        <v>0</v>
      </c>
      <c r="G1134">
        <f>IFERROR(INDEX('01_STAFF'!$F:$F,MATCH(B1134,'01_STAFF'!$A:$A,0))*E1134,0)</f>
        <v/>
      </c>
    </row>
    <row r="1135">
      <c r="A1135" t="inlineStr">
        <is>
          <t>2026-09-12</t>
        </is>
      </c>
      <c r="B1135" t="inlineStr">
        <is>
          <t>S02</t>
        </is>
      </c>
      <c r="C1135" t="inlineStr">
        <is>
          <t>poultry</t>
        </is>
      </c>
      <c r="D1135" t="inlineStr">
        <is>
          <t>Feeding</t>
        </is>
      </c>
      <c r="E1135" t="n">
        <v>8</v>
      </c>
      <c r="F1135" t="n">
        <v>0</v>
      </c>
      <c r="G1135">
        <f>IFERROR(INDEX('01_STAFF'!$F:$F,MATCH(B1135,'01_STAFF'!$A:$A,0))*E1135,0)</f>
        <v/>
      </c>
    </row>
    <row r="1136">
      <c r="A1136" t="inlineStr">
        <is>
          <t>2026-09-13</t>
        </is>
      </c>
      <c r="B1136" t="inlineStr">
        <is>
          <t>S01</t>
        </is>
      </c>
      <c r="C1136" t="inlineStr">
        <is>
          <t>piggery</t>
        </is>
      </c>
      <c r="D1136" t="inlineStr">
        <is>
          <t>Cleaning</t>
        </is>
      </c>
      <c r="E1136" t="n">
        <v>8</v>
      </c>
      <c r="F1136" t="n">
        <v>0</v>
      </c>
      <c r="G1136">
        <f>IFERROR(INDEX('01_STAFF'!$F:$F,MATCH(B1136,'01_STAFF'!$A:$A,0))*E1136,0)</f>
        <v/>
      </c>
    </row>
    <row r="1137">
      <c r="A1137" t="inlineStr">
        <is>
          <t>2026-09-13</t>
        </is>
      </c>
      <c r="B1137" t="inlineStr">
        <is>
          <t>S02</t>
        </is>
      </c>
      <c r="C1137" t="inlineStr">
        <is>
          <t>poultry</t>
        </is>
      </c>
      <c r="D1137" t="inlineStr">
        <is>
          <t>Cleaning</t>
        </is>
      </c>
      <c r="E1137" t="n">
        <v>8</v>
      </c>
      <c r="F1137" t="n">
        <v>0</v>
      </c>
      <c r="G1137">
        <f>IFERROR(INDEX('01_STAFF'!$F:$F,MATCH(B1137,'01_STAFF'!$A:$A,0))*E1137,0)</f>
        <v/>
      </c>
    </row>
    <row r="1138">
      <c r="A1138" t="inlineStr">
        <is>
          <t>2026-09-13</t>
        </is>
      </c>
      <c r="B1138" t="inlineStr">
        <is>
          <t>S03</t>
        </is>
      </c>
      <c r="C1138" t="inlineStr">
        <is>
          <t>crops</t>
        </is>
      </c>
      <c r="D1138" t="inlineStr">
        <is>
          <t>Maintenance</t>
        </is>
      </c>
      <c r="E1138" t="n">
        <v>8</v>
      </c>
      <c r="F1138" t="n">
        <v>0</v>
      </c>
      <c r="G1138">
        <f>IFERROR(INDEX('01_STAFF'!$F:$F,MATCH(B1138,'01_STAFF'!$A:$A,0))*E1138,0)</f>
        <v/>
      </c>
    </row>
    <row r="1139">
      <c r="A1139" t="inlineStr">
        <is>
          <t>2026-09-13</t>
        </is>
      </c>
      <c r="B1139" t="inlineStr">
        <is>
          <t>S04</t>
        </is>
      </c>
      <c r="C1139" t="inlineStr">
        <is>
          <t>shared</t>
        </is>
      </c>
      <c r="D1139" t="inlineStr">
        <is>
          <t>Vaccination</t>
        </is>
      </c>
      <c r="E1139" t="n">
        <v>6</v>
      </c>
      <c r="F1139" t="n">
        <v>0</v>
      </c>
      <c r="G1139">
        <f>IFERROR(INDEX('01_STAFF'!$F:$F,MATCH(B1139,'01_STAFF'!$A:$A,0))*E1139,0)</f>
        <v/>
      </c>
    </row>
    <row r="1140">
      <c r="A1140" t="inlineStr">
        <is>
          <t>2026-09-14</t>
        </is>
      </c>
      <c r="B1140" t="inlineStr">
        <is>
          <t>S01</t>
        </is>
      </c>
      <c r="C1140" t="inlineStr">
        <is>
          <t>piggery</t>
        </is>
      </c>
      <c r="D1140" t="inlineStr">
        <is>
          <t>Feeding</t>
        </is>
      </c>
      <c r="E1140" t="n">
        <v>8</v>
      </c>
      <c r="F1140" t="n">
        <v>0</v>
      </c>
      <c r="G1140">
        <f>IFERROR(INDEX('01_STAFF'!$F:$F,MATCH(B1140,'01_STAFF'!$A:$A,0))*E1140,0)</f>
        <v/>
      </c>
    </row>
    <row r="1141">
      <c r="A1141" t="inlineStr">
        <is>
          <t>2026-09-14</t>
        </is>
      </c>
      <c r="B1141" t="inlineStr">
        <is>
          <t>S02</t>
        </is>
      </c>
      <c r="C1141" t="inlineStr">
        <is>
          <t>poultry</t>
        </is>
      </c>
      <c r="D1141" t="inlineStr">
        <is>
          <t>Cleaning</t>
        </is>
      </c>
      <c r="E1141" t="n">
        <v>8</v>
      </c>
      <c r="F1141" t="n">
        <v>0</v>
      </c>
      <c r="G1141">
        <f>IFERROR(INDEX('01_STAFF'!$F:$F,MATCH(B1141,'01_STAFF'!$A:$A,0))*E1141,0)</f>
        <v/>
      </c>
    </row>
    <row r="1142">
      <c r="A1142" t="inlineStr">
        <is>
          <t>2026-09-14</t>
        </is>
      </c>
      <c r="B1142" t="inlineStr">
        <is>
          <t>S04</t>
        </is>
      </c>
      <c r="C1142" t="inlineStr">
        <is>
          <t>shared</t>
        </is>
      </c>
      <c r="D1142" t="inlineStr">
        <is>
          <t>Marketing</t>
        </is>
      </c>
      <c r="E1142" t="n">
        <v>7</v>
      </c>
      <c r="F1142" t="n">
        <v>0</v>
      </c>
      <c r="G1142">
        <f>IFERROR(INDEX('01_STAFF'!$F:$F,MATCH(B1142,'01_STAFF'!$A:$A,0))*E1142,0)</f>
        <v/>
      </c>
    </row>
    <row r="1143">
      <c r="A1143" t="inlineStr">
        <is>
          <t>2026-09-15</t>
        </is>
      </c>
      <c r="B1143" t="inlineStr">
        <is>
          <t>S01</t>
        </is>
      </c>
      <c r="C1143" t="inlineStr">
        <is>
          <t>piggery</t>
        </is>
      </c>
      <c r="D1143" t="inlineStr">
        <is>
          <t>Cleaning</t>
        </is>
      </c>
      <c r="E1143" t="n">
        <v>8</v>
      </c>
      <c r="F1143" t="n">
        <v>0</v>
      </c>
      <c r="G1143">
        <f>IFERROR(INDEX('01_STAFF'!$F:$F,MATCH(B1143,'01_STAFF'!$A:$A,0))*E1143,0)</f>
        <v/>
      </c>
    </row>
    <row r="1144">
      <c r="A1144" t="inlineStr">
        <is>
          <t>2026-09-15</t>
        </is>
      </c>
      <c r="B1144" t="inlineStr">
        <is>
          <t>S02</t>
        </is>
      </c>
      <c r="C1144" t="inlineStr">
        <is>
          <t>poultry</t>
        </is>
      </c>
      <c r="D1144" t="inlineStr">
        <is>
          <t>Vaccination</t>
        </is>
      </c>
      <c r="E1144" t="n">
        <v>8</v>
      </c>
      <c r="F1144" t="n">
        <v>0</v>
      </c>
      <c r="G1144">
        <f>IFERROR(INDEX('01_STAFF'!$F:$F,MATCH(B1144,'01_STAFF'!$A:$A,0))*E1144,0)</f>
        <v/>
      </c>
    </row>
    <row r="1145">
      <c r="A1145" t="inlineStr">
        <is>
          <t>2026-09-15</t>
        </is>
      </c>
      <c r="B1145" t="inlineStr">
        <is>
          <t>S03</t>
        </is>
      </c>
      <c r="C1145" t="inlineStr">
        <is>
          <t>crops</t>
        </is>
      </c>
      <c r="D1145" t="inlineStr">
        <is>
          <t>Weeding</t>
        </is>
      </c>
      <c r="E1145" t="n">
        <v>8</v>
      </c>
      <c r="F1145" t="n">
        <v>1</v>
      </c>
      <c r="G1145">
        <f>IFERROR(INDEX('01_STAFF'!$F:$F,MATCH(B1145,'01_STAFF'!$A:$A,0))*E1145,0)</f>
        <v/>
      </c>
    </row>
    <row r="1146">
      <c r="A1146" t="inlineStr">
        <is>
          <t>2026-09-15</t>
        </is>
      </c>
      <c r="B1146" t="inlineStr">
        <is>
          <t>S04</t>
        </is>
      </c>
      <c r="C1146" t="inlineStr">
        <is>
          <t>shared</t>
        </is>
      </c>
      <c r="D1146" t="inlineStr">
        <is>
          <t>Maintenance</t>
        </is>
      </c>
      <c r="E1146" t="n">
        <v>6</v>
      </c>
      <c r="F1146" t="n">
        <v>0</v>
      </c>
      <c r="G1146">
        <f>IFERROR(INDEX('01_STAFF'!$F:$F,MATCH(B1146,'01_STAFF'!$A:$A,0))*E1146,0)</f>
        <v/>
      </c>
    </row>
  </sheetData>
  <mergeCells count="1">
    <mergeCell ref="A1:H1"/>
  </mergeCells>
  <dataValidations count="2">
    <dataValidation sqref="C3:C500" showDropDown="0" showInputMessage="0" showErrorMessage="1" allowBlank="1" errorTitle="Invalid entry" error="Please choose a value from the list." type="list">
      <formula1>LIST_DOMAIN</formula1>
      <formula2>0</formula2>
    </dataValidation>
    <dataValidation sqref="D3:D500" showDropDown="0" showInputMessage="0" showErrorMessage="1" allowBlank="1" errorTitle="Invalid entry" error="Please choose a value from the list." type="list">
      <formula1>LIST_TASK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2F5597"/>
    <outlinePr summaryBelow="1" summaryRight="1"/>
    <pageSetUpPr/>
  </sheetPr>
  <dimension ref="A1:F353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4" customWidth="1" min="1" max="1"/>
    <col width="15" customWidth="1" min="2" max="2"/>
    <col width="14" customWidth="1" min="3" max="4"/>
    <col width="16" customWidth="1" min="5" max="5"/>
    <col width="14" customWidth="1" min="6" max="6"/>
  </cols>
  <sheetData>
    <row r="1">
      <c r="A1" s="1" t="inlineStr">
        <is>
          <t>PURPOSE: Cross-domain explanatory variable: heat stress in poultry houses, rainfall vs crop stage, feed intake dips in pigs.   |   CADENCE: Daily, 30 seconds   |   ENTERED BY: Whoever opens the gate in the morning</t>
        </is>
      </c>
    </row>
    <row r="2">
      <c r="A2" s="6" t="inlineStr">
        <is>
          <t>date</t>
        </is>
      </c>
      <c r="B2" s="6" t="inlineStr">
        <is>
          <t>rainfall_mm</t>
        </is>
      </c>
      <c r="C2" s="6" t="inlineStr">
        <is>
          <t>temp_min_c</t>
        </is>
      </c>
      <c r="D2" s="6" t="inlineStr">
        <is>
          <t>temp_max_c</t>
        </is>
      </c>
      <c r="E2" s="6" t="inlineStr">
        <is>
          <t>humidity_pct</t>
        </is>
      </c>
      <c r="F2" s="6" t="inlineStr">
        <is>
          <t>event</t>
        </is>
      </c>
    </row>
    <row r="3">
      <c r="A3" s="8" t="inlineStr">
        <is>
          <t>2026-09-01</t>
        </is>
      </c>
      <c r="B3" s="7" t="n">
        <v>0</v>
      </c>
      <c r="C3" s="7" t="n">
        <v>14</v>
      </c>
      <c r="D3" s="7" t="n">
        <v>27</v>
      </c>
      <c r="E3" s="7" t="n">
        <v>48</v>
      </c>
      <c r="F3" s="7" t="inlineStr">
        <is>
          <t>Normal</t>
        </is>
      </c>
    </row>
    <row r="4">
      <c r="A4" t="inlineStr">
        <is>
          <t>2025-10-01</t>
        </is>
      </c>
      <c r="B4" t="n">
        <v>0</v>
      </c>
      <c r="C4" t="n">
        <v>6.5</v>
      </c>
      <c r="D4" t="n">
        <v>23.6</v>
      </c>
      <c r="E4" t="n">
        <v>39</v>
      </c>
      <c r="F4" t="inlineStr">
        <is>
          <t>Normal</t>
        </is>
      </c>
    </row>
    <row r="5">
      <c r="A5" t="inlineStr">
        <is>
          <t>2025-10-02</t>
        </is>
      </c>
      <c r="B5" t="n">
        <v>0</v>
      </c>
      <c r="C5" t="n">
        <v>8.800000000000001</v>
      </c>
      <c r="D5" t="n">
        <v>21.7</v>
      </c>
      <c r="E5" t="n">
        <v>44</v>
      </c>
      <c r="F5" t="inlineStr">
        <is>
          <t>Normal</t>
        </is>
      </c>
    </row>
    <row r="6">
      <c r="A6" t="inlineStr">
        <is>
          <t>2025-10-03</t>
        </is>
      </c>
      <c r="B6" t="n">
        <v>0</v>
      </c>
      <c r="C6" t="n">
        <v>6.7</v>
      </c>
      <c r="D6" t="n">
        <v>24.8</v>
      </c>
      <c r="E6" t="n">
        <v>41</v>
      </c>
      <c r="F6" t="inlineStr">
        <is>
          <t>Normal</t>
        </is>
      </c>
    </row>
    <row r="7">
      <c r="A7" t="inlineStr">
        <is>
          <t>2025-10-04</t>
        </is>
      </c>
      <c r="B7" t="n">
        <v>0</v>
      </c>
      <c r="C7" t="n">
        <v>7.1</v>
      </c>
      <c r="D7" t="n">
        <v>20.8</v>
      </c>
      <c r="E7" t="n">
        <v>42</v>
      </c>
      <c r="F7" t="inlineStr">
        <is>
          <t>Normal</t>
        </is>
      </c>
    </row>
    <row r="8">
      <c r="A8" t="inlineStr">
        <is>
          <t>2025-10-05</t>
        </is>
      </c>
      <c r="B8" t="n">
        <v>0</v>
      </c>
      <c r="C8" t="n">
        <v>7</v>
      </c>
      <c r="D8" t="n">
        <v>20.8</v>
      </c>
      <c r="E8" t="n">
        <v>44</v>
      </c>
      <c r="F8" t="inlineStr">
        <is>
          <t>Normal</t>
        </is>
      </c>
    </row>
    <row r="9">
      <c r="A9" t="inlineStr">
        <is>
          <t>2025-10-06</t>
        </is>
      </c>
      <c r="B9" t="n">
        <v>0</v>
      </c>
      <c r="C9" t="n">
        <v>7.1</v>
      </c>
      <c r="D9" t="n">
        <v>23.2</v>
      </c>
      <c r="E9" t="n">
        <v>43</v>
      </c>
      <c r="F9" t="inlineStr">
        <is>
          <t>Normal</t>
        </is>
      </c>
    </row>
    <row r="10">
      <c r="A10" t="inlineStr">
        <is>
          <t>2025-10-07</t>
        </is>
      </c>
      <c r="B10" t="n">
        <v>0</v>
      </c>
      <c r="C10" t="n">
        <v>6.4</v>
      </c>
      <c r="D10" t="n">
        <v>24.4</v>
      </c>
      <c r="E10" t="n">
        <v>46</v>
      </c>
      <c r="F10" t="inlineStr">
        <is>
          <t>Normal</t>
        </is>
      </c>
    </row>
    <row r="11">
      <c r="A11" t="inlineStr">
        <is>
          <t>2025-10-08</t>
        </is>
      </c>
      <c r="B11" t="n">
        <v>0</v>
      </c>
      <c r="C11" t="n">
        <v>7.5</v>
      </c>
      <c r="D11" t="n">
        <v>23.9</v>
      </c>
      <c r="E11" t="n">
        <v>38</v>
      </c>
      <c r="F11" t="inlineStr">
        <is>
          <t>Normal</t>
        </is>
      </c>
    </row>
    <row r="12">
      <c r="A12" t="inlineStr">
        <is>
          <t>2025-10-09</t>
        </is>
      </c>
      <c r="B12" t="n">
        <v>0</v>
      </c>
      <c r="C12" t="n">
        <v>7.5</v>
      </c>
      <c r="D12" t="n">
        <v>25.1</v>
      </c>
      <c r="E12" t="n">
        <v>37</v>
      </c>
      <c r="F12" t="inlineStr">
        <is>
          <t>Normal</t>
        </is>
      </c>
    </row>
    <row r="13">
      <c r="A13" t="inlineStr">
        <is>
          <t>2025-10-10</t>
        </is>
      </c>
      <c r="B13" t="n">
        <v>0</v>
      </c>
      <c r="C13" t="n">
        <v>9.1</v>
      </c>
      <c r="D13" t="n">
        <v>21.1</v>
      </c>
      <c r="E13" t="n">
        <v>43</v>
      </c>
      <c r="F13" t="inlineStr">
        <is>
          <t>Normal</t>
        </is>
      </c>
    </row>
    <row r="14">
      <c r="A14" t="inlineStr">
        <is>
          <t>2025-10-11</t>
        </is>
      </c>
      <c r="B14" t="n">
        <v>0</v>
      </c>
      <c r="C14" t="n">
        <v>8.699999999999999</v>
      </c>
      <c r="D14" t="n">
        <v>24.4</v>
      </c>
      <c r="E14" t="n">
        <v>42</v>
      </c>
      <c r="F14" t="inlineStr">
        <is>
          <t>Normal</t>
        </is>
      </c>
    </row>
    <row r="15">
      <c r="A15" t="inlineStr">
        <is>
          <t>2025-10-12</t>
        </is>
      </c>
      <c r="B15" t="n">
        <v>0</v>
      </c>
      <c r="C15" t="n">
        <v>7.6</v>
      </c>
      <c r="D15" t="n">
        <v>25.2</v>
      </c>
      <c r="E15" t="n">
        <v>43</v>
      </c>
      <c r="F15" t="inlineStr">
        <is>
          <t>Normal</t>
        </is>
      </c>
    </row>
    <row r="16">
      <c r="A16" t="inlineStr">
        <is>
          <t>2025-10-13</t>
        </is>
      </c>
      <c r="B16" t="n">
        <v>0</v>
      </c>
      <c r="C16" t="n">
        <v>8.4</v>
      </c>
      <c r="D16" t="n">
        <v>24.5</v>
      </c>
      <c r="E16" t="n">
        <v>47</v>
      </c>
      <c r="F16" t="inlineStr">
        <is>
          <t>Normal</t>
        </is>
      </c>
    </row>
    <row r="17">
      <c r="A17" t="inlineStr">
        <is>
          <t>2025-10-14</t>
        </is>
      </c>
      <c r="B17" t="n">
        <v>0</v>
      </c>
      <c r="C17" t="n">
        <v>8.699999999999999</v>
      </c>
      <c r="D17" t="n">
        <v>23.4</v>
      </c>
      <c r="E17" t="n">
        <v>36</v>
      </c>
      <c r="F17" t="inlineStr">
        <is>
          <t>Normal</t>
        </is>
      </c>
    </row>
    <row r="18">
      <c r="A18" t="inlineStr">
        <is>
          <t>2025-10-15</t>
        </is>
      </c>
      <c r="B18" t="n">
        <v>0</v>
      </c>
      <c r="C18" t="n">
        <v>7.3</v>
      </c>
      <c r="D18" t="n">
        <v>21.7</v>
      </c>
      <c r="E18" t="n">
        <v>37</v>
      </c>
      <c r="F18" t="inlineStr">
        <is>
          <t>Normal</t>
        </is>
      </c>
    </row>
    <row r="19">
      <c r="A19" t="inlineStr">
        <is>
          <t>2025-10-16</t>
        </is>
      </c>
      <c r="B19" t="n">
        <v>0</v>
      </c>
      <c r="C19" t="n">
        <v>6.7</v>
      </c>
      <c r="D19" t="n">
        <v>21.8</v>
      </c>
      <c r="E19" t="n">
        <v>39</v>
      </c>
      <c r="F19" t="inlineStr">
        <is>
          <t>Normal</t>
        </is>
      </c>
    </row>
    <row r="20">
      <c r="A20" t="inlineStr">
        <is>
          <t>2025-10-17</t>
        </is>
      </c>
      <c r="B20" t="n">
        <v>0</v>
      </c>
      <c r="C20" t="n">
        <v>7.6</v>
      </c>
      <c r="D20" t="n">
        <v>23.6</v>
      </c>
      <c r="E20" t="n">
        <v>40</v>
      </c>
      <c r="F20" t="inlineStr">
        <is>
          <t>Normal</t>
        </is>
      </c>
    </row>
    <row r="21">
      <c r="A21" t="inlineStr">
        <is>
          <t>2025-10-18</t>
        </is>
      </c>
      <c r="B21" t="n">
        <v>0</v>
      </c>
      <c r="C21" t="n">
        <v>7.3</v>
      </c>
      <c r="D21" t="n">
        <v>21.7</v>
      </c>
      <c r="E21" t="n">
        <v>48</v>
      </c>
      <c r="F21" t="inlineStr">
        <is>
          <t>Normal</t>
        </is>
      </c>
    </row>
    <row r="22">
      <c r="A22" t="inlineStr">
        <is>
          <t>2025-10-19</t>
        </is>
      </c>
      <c r="B22" t="n">
        <v>0</v>
      </c>
      <c r="C22" t="n">
        <v>8.300000000000001</v>
      </c>
      <c r="D22" t="n">
        <v>23.7</v>
      </c>
      <c r="E22" t="n">
        <v>38</v>
      </c>
      <c r="F22" t="inlineStr">
        <is>
          <t>Normal</t>
        </is>
      </c>
    </row>
    <row r="23">
      <c r="A23" t="inlineStr">
        <is>
          <t>2025-10-20</t>
        </is>
      </c>
      <c r="B23" t="n">
        <v>0</v>
      </c>
      <c r="C23" t="n">
        <v>6.9</v>
      </c>
      <c r="D23" t="n">
        <v>24.1</v>
      </c>
      <c r="E23" t="n">
        <v>40</v>
      </c>
      <c r="F23" t="inlineStr">
        <is>
          <t>Normal</t>
        </is>
      </c>
    </row>
    <row r="24">
      <c r="A24" t="inlineStr">
        <is>
          <t>2025-10-21</t>
        </is>
      </c>
      <c r="B24" t="n">
        <v>0</v>
      </c>
      <c r="C24" t="n">
        <v>8.4</v>
      </c>
      <c r="D24" t="n">
        <v>25.3</v>
      </c>
      <c r="E24" t="n">
        <v>43</v>
      </c>
      <c r="F24" t="inlineStr">
        <is>
          <t>Normal</t>
        </is>
      </c>
    </row>
    <row r="25">
      <c r="A25" t="inlineStr">
        <is>
          <t>2025-10-22</t>
        </is>
      </c>
      <c r="B25" t="n">
        <v>0</v>
      </c>
      <c r="C25" t="n">
        <v>9.1</v>
      </c>
      <c r="D25" t="n">
        <v>23.8</v>
      </c>
      <c r="E25" t="n">
        <v>45</v>
      </c>
      <c r="F25" t="inlineStr">
        <is>
          <t>Normal</t>
        </is>
      </c>
    </row>
    <row r="26">
      <c r="A26" t="inlineStr">
        <is>
          <t>2025-10-23</t>
        </is>
      </c>
      <c r="B26" t="n">
        <v>0</v>
      </c>
      <c r="C26" t="n">
        <v>6.5</v>
      </c>
      <c r="D26" t="n">
        <v>21.8</v>
      </c>
      <c r="E26" t="n">
        <v>40</v>
      </c>
      <c r="F26" t="inlineStr">
        <is>
          <t>Normal</t>
        </is>
      </c>
    </row>
    <row r="27">
      <c r="A27" t="inlineStr">
        <is>
          <t>2025-10-24</t>
        </is>
      </c>
      <c r="B27" t="n">
        <v>0</v>
      </c>
      <c r="C27" t="n">
        <v>7.1</v>
      </c>
      <c r="D27" t="n">
        <v>21.9</v>
      </c>
      <c r="E27" t="n">
        <v>48</v>
      </c>
      <c r="F27" t="inlineStr">
        <is>
          <t>Normal</t>
        </is>
      </c>
    </row>
    <row r="28">
      <c r="A28" t="inlineStr">
        <is>
          <t>2025-10-25</t>
        </is>
      </c>
      <c r="B28" t="n">
        <v>0</v>
      </c>
      <c r="C28" t="n">
        <v>7.4</v>
      </c>
      <c r="D28" t="n">
        <v>24.7</v>
      </c>
      <c r="E28" t="n">
        <v>44</v>
      </c>
      <c r="F28" t="inlineStr">
        <is>
          <t>Normal</t>
        </is>
      </c>
    </row>
    <row r="29">
      <c r="A29" t="inlineStr">
        <is>
          <t>2025-10-26</t>
        </is>
      </c>
      <c r="B29" t="n">
        <v>0</v>
      </c>
      <c r="C29" t="n">
        <v>9.300000000000001</v>
      </c>
      <c r="D29" t="n">
        <v>22.5</v>
      </c>
      <c r="E29" t="n">
        <v>41</v>
      </c>
      <c r="F29" t="inlineStr">
        <is>
          <t>Normal</t>
        </is>
      </c>
    </row>
    <row r="30">
      <c r="A30" t="inlineStr">
        <is>
          <t>2025-10-27</t>
        </is>
      </c>
      <c r="B30" t="n">
        <v>0</v>
      </c>
      <c r="C30" t="n">
        <v>7.2</v>
      </c>
      <c r="D30" t="n">
        <v>21.9</v>
      </c>
      <c r="E30" t="n">
        <v>43</v>
      </c>
      <c r="F30" t="inlineStr">
        <is>
          <t>Normal</t>
        </is>
      </c>
    </row>
    <row r="31">
      <c r="A31" t="inlineStr">
        <is>
          <t>2025-10-28</t>
        </is>
      </c>
      <c r="B31" t="n">
        <v>0</v>
      </c>
      <c r="C31" t="n">
        <v>8.300000000000001</v>
      </c>
      <c r="D31" t="n">
        <v>21.9</v>
      </c>
      <c r="E31" t="n">
        <v>47</v>
      </c>
      <c r="F31" t="inlineStr">
        <is>
          <t>Normal</t>
        </is>
      </c>
    </row>
    <row r="32">
      <c r="A32" t="inlineStr">
        <is>
          <t>2025-10-29</t>
        </is>
      </c>
      <c r="B32" t="n">
        <v>0</v>
      </c>
      <c r="C32" t="n">
        <v>7.1</v>
      </c>
      <c r="D32" t="n">
        <v>22.5</v>
      </c>
      <c r="E32" t="n">
        <v>48</v>
      </c>
      <c r="F32" t="inlineStr">
        <is>
          <t>Normal</t>
        </is>
      </c>
    </row>
    <row r="33">
      <c r="A33" t="inlineStr">
        <is>
          <t>2025-10-30</t>
        </is>
      </c>
      <c r="B33" t="n">
        <v>0</v>
      </c>
      <c r="C33" t="n">
        <v>6.7</v>
      </c>
      <c r="D33" t="n">
        <v>23</v>
      </c>
      <c r="E33" t="n">
        <v>36</v>
      </c>
      <c r="F33" t="inlineStr">
        <is>
          <t>Normal</t>
        </is>
      </c>
    </row>
    <row r="34">
      <c r="A34" t="inlineStr">
        <is>
          <t>2025-10-31</t>
        </is>
      </c>
      <c r="B34" t="n">
        <v>0</v>
      </c>
      <c r="C34" t="n">
        <v>8.4</v>
      </c>
      <c r="D34" t="n">
        <v>21.2</v>
      </c>
      <c r="E34" t="n">
        <v>46</v>
      </c>
      <c r="F34" t="inlineStr">
        <is>
          <t>Normal</t>
        </is>
      </c>
    </row>
    <row r="35">
      <c r="A35" t="inlineStr">
        <is>
          <t>2025-11-01</t>
        </is>
      </c>
      <c r="B35" t="n">
        <v>0</v>
      </c>
      <c r="C35" t="n">
        <v>15.5</v>
      </c>
      <c r="D35" t="n">
        <v>26.7</v>
      </c>
      <c r="E35" t="n">
        <v>63</v>
      </c>
      <c r="F35" t="inlineStr">
        <is>
          <t>Normal</t>
        </is>
      </c>
    </row>
    <row r="36">
      <c r="A36" t="inlineStr">
        <is>
          <t>2025-11-02</t>
        </is>
      </c>
      <c r="B36" t="n">
        <v>3.5</v>
      </c>
      <c r="C36" t="n">
        <v>18.6</v>
      </c>
      <c r="D36" t="n">
        <v>27.1</v>
      </c>
      <c r="E36" t="n">
        <v>71</v>
      </c>
      <c r="F36" t="inlineStr">
        <is>
          <t>Normal</t>
        </is>
      </c>
    </row>
    <row r="37">
      <c r="A37" t="inlineStr">
        <is>
          <t>2025-11-03</t>
        </is>
      </c>
      <c r="B37" t="n">
        <v>0</v>
      </c>
      <c r="C37" t="n">
        <v>16.2</v>
      </c>
      <c r="D37" t="n">
        <v>27.2</v>
      </c>
      <c r="E37" t="n">
        <v>67</v>
      </c>
      <c r="F37" t="inlineStr">
        <is>
          <t>Normal</t>
        </is>
      </c>
    </row>
    <row r="38">
      <c r="A38" t="inlineStr">
        <is>
          <t>2025-11-04</t>
        </is>
      </c>
      <c r="B38" t="n">
        <v>0</v>
      </c>
      <c r="C38" t="n">
        <v>16.8</v>
      </c>
      <c r="D38" t="n">
        <v>26.7</v>
      </c>
      <c r="E38" t="n">
        <v>72</v>
      </c>
      <c r="F38" t="inlineStr">
        <is>
          <t>Normal</t>
        </is>
      </c>
    </row>
    <row r="39">
      <c r="A39" t="inlineStr">
        <is>
          <t>2025-11-05</t>
        </is>
      </c>
      <c r="B39" t="n">
        <v>0</v>
      </c>
      <c r="C39" t="n">
        <v>17</v>
      </c>
      <c r="D39" t="n">
        <v>26</v>
      </c>
      <c r="E39" t="n">
        <v>60</v>
      </c>
      <c r="F39" t="inlineStr">
        <is>
          <t>Normal</t>
        </is>
      </c>
    </row>
    <row r="40">
      <c r="A40" t="inlineStr">
        <is>
          <t>2025-11-06</t>
        </is>
      </c>
      <c r="B40" t="n">
        <v>0</v>
      </c>
      <c r="C40" t="n">
        <v>16.3</v>
      </c>
      <c r="D40" t="n">
        <v>28.6</v>
      </c>
      <c r="E40" t="n">
        <v>67</v>
      </c>
      <c r="F40" t="inlineStr">
        <is>
          <t>Normal</t>
        </is>
      </c>
    </row>
    <row r="41">
      <c r="A41" t="inlineStr">
        <is>
          <t>2025-11-07</t>
        </is>
      </c>
      <c r="B41" t="n">
        <v>0</v>
      </c>
      <c r="C41" t="n">
        <v>17.9</v>
      </c>
      <c r="D41" t="n">
        <v>25.5</v>
      </c>
      <c r="E41" t="n">
        <v>66</v>
      </c>
      <c r="F41" t="inlineStr">
        <is>
          <t>Normal</t>
        </is>
      </c>
    </row>
    <row r="42">
      <c r="A42" t="inlineStr">
        <is>
          <t>2025-11-08</t>
        </is>
      </c>
      <c r="B42" t="n">
        <v>22.7</v>
      </c>
      <c r="C42" t="n">
        <v>15.3</v>
      </c>
      <c r="D42" t="n">
        <v>27.1</v>
      </c>
      <c r="E42" t="n">
        <v>62</v>
      </c>
      <c r="F42" t="inlineStr">
        <is>
          <t>Normal</t>
        </is>
      </c>
    </row>
    <row r="43">
      <c r="A43" t="inlineStr">
        <is>
          <t>2025-11-09</t>
        </is>
      </c>
      <c r="B43" t="n">
        <v>0</v>
      </c>
      <c r="C43" t="n">
        <v>16.3</v>
      </c>
      <c r="D43" t="n">
        <v>28.4</v>
      </c>
      <c r="E43" t="n">
        <v>58</v>
      </c>
      <c r="F43" t="inlineStr">
        <is>
          <t>Normal</t>
        </is>
      </c>
    </row>
    <row r="44">
      <c r="A44" t="inlineStr">
        <is>
          <t>2025-11-10</t>
        </is>
      </c>
      <c r="B44" t="n">
        <v>0</v>
      </c>
      <c r="C44" t="n">
        <v>15.6</v>
      </c>
      <c r="D44" t="n">
        <v>28.9</v>
      </c>
      <c r="E44" t="n">
        <v>65</v>
      </c>
      <c r="F44" t="inlineStr">
        <is>
          <t>Normal</t>
        </is>
      </c>
    </row>
    <row r="45">
      <c r="A45" t="inlineStr">
        <is>
          <t>2025-11-11</t>
        </is>
      </c>
      <c r="B45" t="n">
        <v>0</v>
      </c>
      <c r="C45" t="n">
        <v>17.9</v>
      </c>
      <c r="D45" t="n">
        <v>28.1</v>
      </c>
      <c r="E45" t="n">
        <v>59</v>
      </c>
      <c r="F45" t="inlineStr">
        <is>
          <t>Normal</t>
        </is>
      </c>
    </row>
    <row r="46">
      <c r="A46" t="inlineStr">
        <is>
          <t>2025-11-12</t>
        </is>
      </c>
      <c r="B46" t="n">
        <v>8.699999999999999</v>
      </c>
      <c r="C46" t="n">
        <v>16.2</v>
      </c>
      <c r="D46" t="n">
        <v>27.2</v>
      </c>
      <c r="E46" t="n">
        <v>71</v>
      </c>
      <c r="F46" t="inlineStr">
        <is>
          <t>Normal</t>
        </is>
      </c>
    </row>
    <row r="47">
      <c r="A47" t="inlineStr">
        <is>
          <t>2025-11-13</t>
        </is>
      </c>
      <c r="B47" t="n">
        <v>0</v>
      </c>
      <c r="C47" t="n">
        <v>16</v>
      </c>
      <c r="D47" t="n">
        <v>28</v>
      </c>
      <c r="E47" t="n">
        <v>62</v>
      </c>
      <c r="F47" t="inlineStr">
        <is>
          <t>Normal</t>
        </is>
      </c>
    </row>
    <row r="48">
      <c r="A48" t="inlineStr">
        <is>
          <t>2025-11-14</t>
        </is>
      </c>
      <c r="B48" t="n">
        <v>16.9</v>
      </c>
      <c r="C48" t="n">
        <v>16.8</v>
      </c>
      <c r="D48" t="n">
        <v>27.6</v>
      </c>
      <c r="E48" t="n">
        <v>65</v>
      </c>
      <c r="F48" t="inlineStr">
        <is>
          <t>Normal</t>
        </is>
      </c>
    </row>
    <row r="49">
      <c r="A49" t="inlineStr">
        <is>
          <t>2025-11-15</t>
        </is>
      </c>
      <c r="B49" t="n">
        <v>6.6</v>
      </c>
      <c r="C49" t="n">
        <v>16.4</v>
      </c>
      <c r="D49" t="n">
        <v>25.8</v>
      </c>
      <c r="E49" t="n">
        <v>66</v>
      </c>
      <c r="F49" t="inlineStr">
        <is>
          <t>Normal</t>
        </is>
      </c>
    </row>
    <row r="50">
      <c r="A50" t="inlineStr">
        <is>
          <t>2025-11-16</t>
        </is>
      </c>
      <c r="B50" t="n">
        <v>0</v>
      </c>
      <c r="C50" t="n">
        <v>16.1</v>
      </c>
      <c r="D50" t="n">
        <v>27.6</v>
      </c>
      <c r="E50" t="n">
        <v>71</v>
      </c>
      <c r="F50" t="inlineStr">
        <is>
          <t>Normal</t>
        </is>
      </c>
    </row>
    <row r="51">
      <c r="A51" t="inlineStr">
        <is>
          <t>2025-11-17</t>
        </is>
      </c>
      <c r="B51" t="n">
        <v>9.4</v>
      </c>
      <c r="C51" t="n">
        <v>16.1</v>
      </c>
      <c r="D51" t="n">
        <v>25.1</v>
      </c>
      <c r="E51" t="n">
        <v>68</v>
      </c>
      <c r="F51" t="inlineStr">
        <is>
          <t>Normal</t>
        </is>
      </c>
    </row>
    <row r="52">
      <c r="A52" t="inlineStr">
        <is>
          <t>2025-11-18</t>
        </is>
      </c>
      <c r="B52" t="n">
        <v>0</v>
      </c>
      <c r="C52" t="n">
        <v>18.5</v>
      </c>
      <c r="D52" t="n">
        <v>25.4</v>
      </c>
      <c r="E52" t="n">
        <v>66</v>
      </c>
      <c r="F52" t="inlineStr">
        <is>
          <t>Normal</t>
        </is>
      </c>
    </row>
    <row r="53">
      <c r="A53" t="inlineStr">
        <is>
          <t>2025-11-19</t>
        </is>
      </c>
      <c r="B53" t="n">
        <v>0</v>
      </c>
      <c r="C53" t="n">
        <v>18</v>
      </c>
      <c r="D53" t="n">
        <v>28.2</v>
      </c>
      <c r="E53" t="n">
        <v>60</v>
      </c>
      <c r="F53" t="inlineStr">
        <is>
          <t>Normal</t>
        </is>
      </c>
    </row>
    <row r="54">
      <c r="A54" t="inlineStr">
        <is>
          <t>2025-11-20</t>
        </is>
      </c>
      <c r="B54" t="n">
        <v>0</v>
      </c>
      <c r="C54" t="n">
        <v>17.8</v>
      </c>
      <c r="D54" t="n">
        <v>26.9</v>
      </c>
      <c r="E54" t="n">
        <v>68</v>
      </c>
      <c r="F54" t="inlineStr">
        <is>
          <t>Normal</t>
        </is>
      </c>
    </row>
    <row r="55">
      <c r="A55" t="inlineStr">
        <is>
          <t>2025-11-21</t>
        </is>
      </c>
      <c r="B55" t="n">
        <v>0</v>
      </c>
      <c r="C55" t="n">
        <v>16.7</v>
      </c>
      <c r="D55" t="n">
        <v>25.3</v>
      </c>
      <c r="E55" t="n">
        <v>62</v>
      </c>
      <c r="F55" t="inlineStr">
        <is>
          <t>Normal</t>
        </is>
      </c>
    </row>
    <row r="56">
      <c r="A56" t="inlineStr">
        <is>
          <t>2025-11-22</t>
        </is>
      </c>
      <c r="B56" t="n">
        <v>10</v>
      </c>
      <c r="C56" t="n">
        <v>15.9</v>
      </c>
      <c r="D56" t="n">
        <v>25.9</v>
      </c>
      <c r="E56" t="n">
        <v>64</v>
      </c>
      <c r="F56" t="inlineStr">
        <is>
          <t>Normal</t>
        </is>
      </c>
    </row>
    <row r="57">
      <c r="A57" t="inlineStr">
        <is>
          <t>2025-11-23</t>
        </is>
      </c>
      <c r="B57" t="n">
        <v>13.3</v>
      </c>
      <c r="C57" t="n">
        <v>16.1</v>
      </c>
      <c r="D57" t="n">
        <v>26</v>
      </c>
      <c r="E57" t="n">
        <v>72</v>
      </c>
      <c r="F57" t="inlineStr">
        <is>
          <t>Normal</t>
        </is>
      </c>
    </row>
    <row r="58">
      <c r="A58" t="inlineStr">
        <is>
          <t>2025-11-24</t>
        </is>
      </c>
      <c r="B58" t="n">
        <v>0</v>
      </c>
      <c r="C58" t="n">
        <v>18.7</v>
      </c>
      <c r="D58" t="n">
        <v>25.1</v>
      </c>
      <c r="E58" t="n">
        <v>70</v>
      </c>
      <c r="F58" t="inlineStr">
        <is>
          <t>Normal</t>
        </is>
      </c>
    </row>
    <row r="59">
      <c r="A59" t="inlineStr">
        <is>
          <t>2025-11-25</t>
        </is>
      </c>
      <c r="B59" t="n">
        <v>0</v>
      </c>
      <c r="C59" t="n">
        <v>18.2</v>
      </c>
      <c r="D59" t="n">
        <v>28.8</v>
      </c>
      <c r="E59" t="n">
        <v>60</v>
      </c>
      <c r="F59" t="inlineStr">
        <is>
          <t>Normal</t>
        </is>
      </c>
    </row>
    <row r="60">
      <c r="A60" t="inlineStr">
        <is>
          <t>2025-11-26</t>
        </is>
      </c>
      <c r="B60" t="n">
        <v>0</v>
      </c>
      <c r="C60" t="n">
        <v>16.7</v>
      </c>
      <c r="D60" t="n">
        <v>25.8</v>
      </c>
      <c r="E60" t="n">
        <v>58</v>
      </c>
      <c r="F60" t="inlineStr">
        <is>
          <t>Normal</t>
        </is>
      </c>
    </row>
    <row r="61">
      <c r="A61" t="inlineStr">
        <is>
          <t>2025-11-27</t>
        </is>
      </c>
      <c r="B61" t="n">
        <v>0</v>
      </c>
      <c r="C61" t="n">
        <v>16.2</v>
      </c>
      <c r="D61" t="n">
        <v>29.1</v>
      </c>
      <c r="E61" t="n">
        <v>69</v>
      </c>
      <c r="F61" t="inlineStr">
        <is>
          <t>Normal</t>
        </is>
      </c>
    </row>
    <row r="62">
      <c r="A62" t="inlineStr">
        <is>
          <t>2025-11-28</t>
        </is>
      </c>
      <c r="B62" t="n">
        <v>0</v>
      </c>
      <c r="C62" t="n">
        <v>18.6</v>
      </c>
      <c r="D62" t="n">
        <v>26.7</v>
      </c>
      <c r="E62" t="n">
        <v>73</v>
      </c>
      <c r="F62" t="inlineStr">
        <is>
          <t>Normal</t>
        </is>
      </c>
    </row>
    <row r="63">
      <c r="A63" t="inlineStr">
        <is>
          <t>2025-11-29</t>
        </is>
      </c>
      <c r="B63" t="n">
        <v>0</v>
      </c>
      <c r="C63" t="n">
        <v>15.8</v>
      </c>
      <c r="D63" t="n">
        <v>27.9</v>
      </c>
      <c r="E63" t="n">
        <v>62</v>
      </c>
      <c r="F63" t="inlineStr">
        <is>
          <t>Normal</t>
        </is>
      </c>
    </row>
    <row r="64">
      <c r="A64" t="inlineStr">
        <is>
          <t>2025-11-30</t>
        </is>
      </c>
      <c r="B64" t="n">
        <v>0</v>
      </c>
      <c r="C64" t="n">
        <v>17.1</v>
      </c>
      <c r="D64" t="n">
        <v>27.3</v>
      </c>
      <c r="E64" t="n">
        <v>69</v>
      </c>
      <c r="F64" t="inlineStr">
        <is>
          <t>Normal</t>
        </is>
      </c>
    </row>
    <row r="65">
      <c r="A65" t="inlineStr">
        <is>
          <t>2025-12-01</t>
        </is>
      </c>
      <c r="B65" t="n">
        <v>0.6</v>
      </c>
      <c r="C65" t="n">
        <v>15.8</v>
      </c>
      <c r="D65" t="n">
        <v>28.5</v>
      </c>
      <c r="E65" t="n">
        <v>72</v>
      </c>
      <c r="F65" t="inlineStr">
        <is>
          <t>Normal</t>
        </is>
      </c>
    </row>
    <row r="66">
      <c r="A66" t="inlineStr">
        <is>
          <t>2025-12-02</t>
        </is>
      </c>
      <c r="B66" t="n">
        <v>19.8</v>
      </c>
      <c r="C66" t="n">
        <v>17.3</v>
      </c>
      <c r="D66" t="n">
        <v>25.6</v>
      </c>
      <c r="E66" t="n">
        <v>68</v>
      </c>
      <c r="F66" t="inlineStr">
        <is>
          <t>Normal</t>
        </is>
      </c>
    </row>
    <row r="67">
      <c r="A67" t="inlineStr">
        <is>
          <t>2025-12-03</t>
        </is>
      </c>
      <c r="B67" t="n">
        <v>18.9</v>
      </c>
      <c r="C67" t="n">
        <v>17.3</v>
      </c>
      <c r="D67" t="n">
        <v>25.9</v>
      </c>
      <c r="E67" t="n">
        <v>67</v>
      </c>
      <c r="F67" t="inlineStr">
        <is>
          <t>Normal</t>
        </is>
      </c>
    </row>
    <row r="68">
      <c r="A68" t="inlineStr">
        <is>
          <t>2025-12-04</t>
        </is>
      </c>
      <c r="B68" t="n">
        <v>4.6</v>
      </c>
      <c r="C68" t="n">
        <v>17.1</v>
      </c>
      <c r="D68" t="n">
        <v>27.4</v>
      </c>
      <c r="E68" t="n">
        <v>72</v>
      </c>
      <c r="F68" t="inlineStr">
        <is>
          <t>Normal</t>
        </is>
      </c>
    </row>
    <row r="69">
      <c r="A69" t="inlineStr">
        <is>
          <t>2025-12-05</t>
        </is>
      </c>
      <c r="B69" t="n">
        <v>0</v>
      </c>
      <c r="C69" t="n">
        <v>17.6</v>
      </c>
      <c r="D69" t="n">
        <v>26.5</v>
      </c>
      <c r="E69" t="n">
        <v>62</v>
      </c>
      <c r="F69" t="inlineStr">
        <is>
          <t>Normal</t>
        </is>
      </c>
    </row>
    <row r="70">
      <c r="A70" t="inlineStr">
        <is>
          <t>2025-12-06</t>
        </is>
      </c>
      <c r="B70" t="n">
        <v>0</v>
      </c>
      <c r="C70" t="n">
        <v>15.5</v>
      </c>
      <c r="D70" t="n">
        <v>28.1</v>
      </c>
      <c r="E70" t="n">
        <v>64</v>
      </c>
      <c r="F70" t="inlineStr">
        <is>
          <t>Normal</t>
        </is>
      </c>
    </row>
    <row r="71">
      <c r="A71" t="inlineStr">
        <is>
          <t>2025-12-07</t>
        </is>
      </c>
      <c r="B71" t="n">
        <v>23</v>
      </c>
      <c r="C71" t="n">
        <v>15.5</v>
      </c>
      <c r="D71" t="n">
        <v>29.1</v>
      </c>
      <c r="E71" t="n">
        <v>61</v>
      </c>
      <c r="F71" t="inlineStr">
        <is>
          <t>Normal</t>
        </is>
      </c>
    </row>
    <row r="72">
      <c r="A72" t="inlineStr">
        <is>
          <t>2025-12-08</t>
        </is>
      </c>
      <c r="B72" t="n">
        <v>0</v>
      </c>
      <c r="C72" t="n">
        <v>16.6</v>
      </c>
      <c r="D72" t="n">
        <v>28.6</v>
      </c>
      <c r="E72" t="n">
        <v>60</v>
      </c>
      <c r="F72" t="inlineStr">
        <is>
          <t>Normal</t>
        </is>
      </c>
    </row>
    <row r="73">
      <c r="A73" t="inlineStr">
        <is>
          <t>2025-12-09</t>
        </is>
      </c>
      <c r="B73" t="n">
        <v>0</v>
      </c>
      <c r="C73" t="n">
        <v>17.4</v>
      </c>
      <c r="D73" t="n">
        <v>27.9</v>
      </c>
      <c r="E73" t="n">
        <v>73</v>
      </c>
      <c r="F73" t="inlineStr">
        <is>
          <t>Normal</t>
        </is>
      </c>
    </row>
    <row r="74">
      <c r="A74" t="inlineStr">
        <is>
          <t>2025-12-10</t>
        </is>
      </c>
      <c r="B74" t="n">
        <v>0</v>
      </c>
      <c r="C74" t="n">
        <v>18.1</v>
      </c>
      <c r="D74" t="n">
        <v>24.9</v>
      </c>
      <c r="E74" t="n">
        <v>62</v>
      </c>
      <c r="F74" t="inlineStr">
        <is>
          <t>Normal</t>
        </is>
      </c>
    </row>
    <row r="75">
      <c r="A75" t="inlineStr">
        <is>
          <t>2025-12-11</t>
        </is>
      </c>
      <c r="B75" t="n">
        <v>0</v>
      </c>
      <c r="C75" t="n">
        <v>15.8</v>
      </c>
      <c r="D75" t="n">
        <v>28.9</v>
      </c>
      <c r="E75" t="n">
        <v>59</v>
      </c>
      <c r="F75" t="inlineStr">
        <is>
          <t>Normal</t>
        </is>
      </c>
    </row>
    <row r="76">
      <c r="A76" t="inlineStr">
        <is>
          <t>2025-12-12</t>
        </is>
      </c>
      <c r="B76" t="n">
        <v>0</v>
      </c>
      <c r="C76" t="n">
        <v>16.2</v>
      </c>
      <c r="D76" t="n">
        <v>27.2</v>
      </c>
      <c r="E76" t="n">
        <v>67</v>
      </c>
      <c r="F76" t="inlineStr">
        <is>
          <t>Normal</t>
        </is>
      </c>
    </row>
    <row r="77">
      <c r="A77" t="inlineStr">
        <is>
          <t>2025-12-13</t>
        </is>
      </c>
      <c r="B77" t="n">
        <v>0</v>
      </c>
      <c r="C77" t="n">
        <v>17.5</v>
      </c>
      <c r="D77" t="n">
        <v>25.7</v>
      </c>
      <c r="E77" t="n">
        <v>61</v>
      </c>
      <c r="F77" t="inlineStr">
        <is>
          <t>Normal</t>
        </is>
      </c>
    </row>
    <row r="78">
      <c r="A78" t="inlineStr">
        <is>
          <t>2025-12-14</t>
        </is>
      </c>
      <c r="B78" t="n">
        <v>5.9</v>
      </c>
      <c r="C78" t="n">
        <v>18.2</v>
      </c>
      <c r="D78" t="n">
        <v>28.8</v>
      </c>
      <c r="E78" t="n">
        <v>59</v>
      </c>
      <c r="F78" t="inlineStr">
        <is>
          <t>Normal</t>
        </is>
      </c>
    </row>
    <row r="79">
      <c r="A79" t="inlineStr">
        <is>
          <t>2025-12-15</t>
        </is>
      </c>
      <c r="B79" t="n">
        <v>0</v>
      </c>
      <c r="C79" t="n">
        <v>17.5</v>
      </c>
      <c r="D79" t="n">
        <v>28.2</v>
      </c>
      <c r="E79" t="n">
        <v>61</v>
      </c>
      <c r="F79" t="inlineStr">
        <is>
          <t>Normal</t>
        </is>
      </c>
    </row>
    <row r="80">
      <c r="A80" t="inlineStr">
        <is>
          <t>2025-12-16</t>
        </is>
      </c>
      <c r="B80" t="n">
        <v>6.7</v>
      </c>
      <c r="C80" t="n">
        <v>16.8</v>
      </c>
      <c r="D80" t="n">
        <v>27.2</v>
      </c>
      <c r="E80" t="n">
        <v>57</v>
      </c>
      <c r="F80" t="inlineStr">
        <is>
          <t>Normal</t>
        </is>
      </c>
    </row>
    <row r="81">
      <c r="A81" t="inlineStr">
        <is>
          <t>2025-12-17</t>
        </is>
      </c>
      <c r="B81" t="n">
        <v>0</v>
      </c>
      <c r="C81" t="n">
        <v>18.4</v>
      </c>
      <c r="D81" t="n">
        <v>28.7</v>
      </c>
      <c r="E81" t="n">
        <v>66</v>
      </c>
      <c r="F81" t="inlineStr">
        <is>
          <t>Normal</t>
        </is>
      </c>
    </row>
    <row r="82">
      <c r="A82" t="inlineStr">
        <is>
          <t>2025-12-18</t>
        </is>
      </c>
      <c r="B82" t="n">
        <v>18.9</v>
      </c>
      <c r="C82" t="n">
        <v>15.8</v>
      </c>
      <c r="D82" t="n">
        <v>27.4</v>
      </c>
      <c r="E82" t="n">
        <v>59</v>
      </c>
      <c r="F82" t="inlineStr">
        <is>
          <t>Normal</t>
        </is>
      </c>
    </row>
    <row r="83">
      <c r="A83" t="inlineStr">
        <is>
          <t>2025-12-19</t>
        </is>
      </c>
      <c r="B83" t="n">
        <v>0</v>
      </c>
      <c r="C83" t="n">
        <v>18.4</v>
      </c>
      <c r="D83" t="n">
        <v>28.6</v>
      </c>
      <c r="E83" t="n">
        <v>60</v>
      </c>
      <c r="F83" t="inlineStr">
        <is>
          <t>Normal</t>
        </is>
      </c>
    </row>
    <row r="84">
      <c r="A84" t="inlineStr">
        <is>
          <t>2025-12-20</t>
        </is>
      </c>
      <c r="B84" t="n">
        <v>2.2</v>
      </c>
      <c r="C84" t="n">
        <v>18</v>
      </c>
      <c r="D84" t="n">
        <v>25.3</v>
      </c>
      <c r="E84" t="n">
        <v>71</v>
      </c>
      <c r="F84" t="inlineStr">
        <is>
          <t>Normal</t>
        </is>
      </c>
    </row>
    <row r="85">
      <c r="A85" t="inlineStr">
        <is>
          <t>2025-12-21</t>
        </is>
      </c>
      <c r="B85" t="n">
        <v>0</v>
      </c>
      <c r="C85" t="n">
        <v>18.2</v>
      </c>
      <c r="D85" t="n">
        <v>28.9</v>
      </c>
      <c r="E85" t="n">
        <v>72</v>
      </c>
      <c r="F85" t="inlineStr">
        <is>
          <t>Normal</t>
        </is>
      </c>
    </row>
    <row r="86">
      <c r="A86" t="inlineStr">
        <is>
          <t>2025-12-22</t>
        </is>
      </c>
      <c r="B86" t="n">
        <v>2.4</v>
      </c>
      <c r="C86" t="n">
        <v>15.4</v>
      </c>
      <c r="D86" t="n">
        <v>28.6</v>
      </c>
      <c r="E86" t="n">
        <v>69</v>
      </c>
      <c r="F86" t="inlineStr">
        <is>
          <t>Normal</t>
        </is>
      </c>
    </row>
    <row r="87">
      <c r="A87" t="inlineStr">
        <is>
          <t>2025-12-23</t>
        </is>
      </c>
      <c r="B87" t="n">
        <v>0</v>
      </c>
      <c r="C87" t="n">
        <v>18</v>
      </c>
      <c r="D87" t="n">
        <v>28.9</v>
      </c>
      <c r="E87" t="n">
        <v>71</v>
      </c>
      <c r="F87" t="inlineStr">
        <is>
          <t>Normal</t>
        </is>
      </c>
    </row>
    <row r="88">
      <c r="A88" t="inlineStr">
        <is>
          <t>2025-12-24</t>
        </is>
      </c>
      <c r="B88" t="n">
        <v>0</v>
      </c>
      <c r="C88" t="n">
        <v>18</v>
      </c>
      <c r="D88" t="n">
        <v>26</v>
      </c>
      <c r="E88" t="n">
        <v>59</v>
      </c>
      <c r="F88" t="inlineStr">
        <is>
          <t>Normal</t>
        </is>
      </c>
    </row>
    <row r="89">
      <c r="A89" t="inlineStr">
        <is>
          <t>2025-12-25</t>
        </is>
      </c>
      <c r="B89" t="n">
        <v>0</v>
      </c>
      <c r="C89" t="n">
        <v>16.1</v>
      </c>
      <c r="D89" t="n">
        <v>28.5</v>
      </c>
      <c r="E89" t="n">
        <v>70</v>
      </c>
      <c r="F89" t="inlineStr">
        <is>
          <t>Normal</t>
        </is>
      </c>
    </row>
    <row r="90">
      <c r="A90" t="inlineStr">
        <is>
          <t>2025-12-26</t>
        </is>
      </c>
      <c r="B90" t="n">
        <v>8.800000000000001</v>
      </c>
      <c r="C90" t="n">
        <v>18</v>
      </c>
      <c r="D90" t="n">
        <v>26.2</v>
      </c>
      <c r="E90" t="n">
        <v>61</v>
      </c>
      <c r="F90" t="inlineStr">
        <is>
          <t>Normal</t>
        </is>
      </c>
    </row>
    <row r="91">
      <c r="A91" t="inlineStr">
        <is>
          <t>2025-12-27</t>
        </is>
      </c>
      <c r="B91" t="n">
        <v>0</v>
      </c>
      <c r="C91" t="n">
        <v>18.6</v>
      </c>
      <c r="D91" t="n">
        <v>28.6</v>
      </c>
      <c r="E91" t="n">
        <v>62</v>
      </c>
      <c r="F91" t="inlineStr">
        <is>
          <t>Normal</t>
        </is>
      </c>
    </row>
    <row r="92">
      <c r="A92" t="inlineStr">
        <is>
          <t>2025-12-28</t>
        </is>
      </c>
      <c r="B92" t="n">
        <v>0</v>
      </c>
      <c r="C92" t="n">
        <v>18.6</v>
      </c>
      <c r="D92" t="n">
        <v>26.6</v>
      </c>
      <c r="E92" t="n">
        <v>66</v>
      </c>
      <c r="F92" t="inlineStr">
        <is>
          <t>Normal</t>
        </is>
      </c>
    </row>
    <row r="93">
      <c r="A93" t="inlineStr">
        <is>
          <t>2025-12-29</t>
        </is>
      </c>
      <c r="B93" t="n">
        <v>0</v>
      </c>
      <c r="C93" t="n">
        <v>18.6</v>
      </c>
      <c r="D93" t="n">
        <v>25.3</v>
      </c>
      <c r="E93" t="n">
        <v>60</v>
      </c>
      <c r="F93" t="inlineStr">
        <is>
          <t>Normal</t>
        </is>
      </c>
    </row>
    <row r="94">
      <c r="A94" t="inlineStr">
        <is>
          <t>2025-12-30</t>
        </is>
      </c>
      <c r="B94" t="n">
        <v>0</v>
      </c>
      <c r="C94" t="n">
        <v>15.7</v>
      </c>
      <c r="D94" t="n">
        <v>26</v>
      </c>
      <c r="E94" t="n">
        <v>64</v>
      </c>
      <c r="F94" t="inlineStr">
        <is>
          <t>Normal</t>
        </is>
      </c>
    </row>
    <row r="95">
      <c r="A95" t="inlineStr">
        <is>
          <t>2025-12-31</t>
        </is>
      </c>
      <c r="B95" t="n">
        <v>13.5</v>
      </c>
      <c r="C95" t="n">
        <v>17.4</v>
      </c>
      <c r="D95" t="n">
        <v>26.2</v>
      </c>
      <c r="E95" t="n">
        <v>65</v>
      </c>
      <c r="F95" t="inlineStr">
        <is>
          <t>Normal</t>
        </is>
      </c>
    </row>
    <row r="96">
      <c r="A96" t="inlineStr">
        <is>
          <t>2026-01-01</t>
        </is>
      </c>
      <c r="B96" t="n">
        <v>16</v>
      </c>
      <c r="C96" t="n">
        <v>16.2</v>
      </c>
      <c r="D96" t="n">
        <v>27.3</v>
      </c>
      <c r="E96" t="n">
        <v>68</v>
      </c>
      <c r="F96" t="inlineStr">
        <is>
          <t>Normal</t>
        </is>
      </c>
    </row>
    <row r="97">
      <c r="A97" t="inlineStr">
        <is>
          <t>2026-01-02</t>
        </is>
      </c>
      <c r="B97" t="n">
        <v>1</v>
      </c>
      <c r="C97" t="n">
        <v>17.8</v>
      </c>
      <c r="D97" t="n">
        <v>27.9</v>
      </c>
      <c r="E97" t="n">
        <v>68</v>
      </c>
      <c r="F97" t="inlineStr">
        <is>
          <t>Normal</t>
        </is>
      </c>
    </row>
    <row r="98">
      <c r="A98" t="inlineStr">
        <is>
          <t>2026-01-03</t>
        </is>
      </c>
      <c r="B98" t="n">
        <v>14.3</v>
      </c>
      <c r="C98" t="n">
        <v>17.6</v>
      </c>
      <c r="D98" t="n">
        <v>25.1</v>
      </c>
      <c r="E98" t="n">
        <v>62</v>
      </c>
      <c r="F98" t="inlineStr">
        <is>
          <t>Normal</t>
        </is>
      </c>
    </row>
    <row r="99">
      <c r="A99" t="inlineStr">
        <is>
          <t>2026-01-04</t>
        </is>
      </c>
      <c r="B99" t="n">
        <v>0</v>
      </c>
      <c r="C99" t="n">
        <v>16.4</v>
      </c>
      <c r="D99" t="n">
        <v>26.1</v>
      </c>
      <c r="E99" t="n">
        <v>64</v>
      </c>
      <c r="F99" t="inlineStr">
        <is>
          <t>Normal</t>
        </is>
      </c>
    </row>
    <row r="100">
      <c r="A100" t="inlineStr">
        <is>
          <t>2026-01-05</t>
        </is>
      </c>
      <c r="B100" t="n">
        <v>0</v>
      </c>
      <c r="C100" t="n">
        <v>15.7</v>
      </c>
      <c r="D100" t="n">
        <v>26.1</v>
      </c>
      <c r="E100" t="n">
        <v>64</v>
      </c>
      <c r="F100" t="inlineStr">
        <is>
          <t>Normal</t>
        </is>
      </c>
    </row>
    <row r="101">
      <c r="A101" t="inlineStr">
        <is>
          <t>2026-01-06</t>
        </is>
      </c>
      <c r="B101" t="n">
        <v>5.8</v>
      </c>
      <c r="C101" t="n">
        <v>18.4</v>
      </c>
      <c r="D101" t="n">
        <v>27.8</v>
      </c>
      <c r="E101" t="n">
        <v>67</v>
      </c>
      <c r="F101" t="inlineStr">
        <is>
          <t>Normal</t>
        </is>
      </c>
    </row>
    <row r="102">
      <c r="A102" t="inlineStr">
        <is>
          <t>2026-01-07</t>
        </is>
      </c>
      <c r="B102" t="n">
        <v>0</v>
      </c>
      <c r="C102" t="n">
        <v>16.8</v>
      </c>
      <c r="D102" t="n">
        <v>26.1</v>
      </c>
      <c r="E102" t="n">
        <v>66</v>
      </c>
      <c r="F102" t="inlineStr">
        <is>
          <t>Normal</t>
        </is>
      </c>
    </row>
    <row r="103">
      <c r="A103" t="inlineStr">
        <is>
          <t>2026-01-08</t>
        </is>
      </c>
      <c r="B103" t="n">
        <v>0</v>
      </c>
      <c r="C103" t="n">
        <v>22.8</v>
      </c>
      <c r="D103" t="n">
        <v>37.9</v>
      </c>
      <c r="E103" t="n">
        <v>28</v>
      </c>
      <c r="F103" t="inlineStr">
        <is>
          <t>Heatwave</t>
        </is>
      </c>
    </row>
    <row r="104">
      <c r="A104" t="inlineStr">
        <is>
          <t>2026-01-09</t>
        </is>
      </c>
      <c r="B104" t="n">
        <v>0</v>
      </c>
      <c r="C104" t="n">
        <v>24.5</v>
      </c>
      <c r="D104" t="n">
        <v>37.9</v>
      </c>
      <c r="E104" t="n">
        <v>32</v>
      </c>
      <c r="F104" t="inlineStr">
        <is>
          <t>Heatwave</t>
        </is>
      </c>
    </row>
    <row r="105">
      <c r="A105" t="inlineStr">
        <is>
          <t>2026-01-10</t>
        </is>
      </c>
      <c r="B105" t="n">
        <v>0</v>
      </c>
      <c r="C105" t="n">
        <v>21.5</v>
      </c>
      <c r="D105" t="n">
        <v>36.7</v>
      </c>
      <c r="E105" t="n">
        <v>30</v>
      </c>
      <c r="F105" t="inlineStr">
        <is>
          <t>Heatwave</t>
        </is>
      </c>
    </row>
    <row r="106">
      <c r="A106" t="inlineStr">
        <is>
          <t>2026-01-11</t>
        </is>
      </c>
      <c r="B106" t="n">
        <v>0</v>
      </c>
      <c r="C106" t="n">
        <v>22.4</v>
      </c>
      <c r="D106" t="n">
        <v>38.5</v>
      </c>
      <c r="E106" t="n">
        <v>32</v>
      </c>
      <c r="F106" t="inlineStr">
        <is>
          <t>Heatwave</t>
        </is>
      </c>
    </row>
    <row r="107">
      <c r="A107" t="inlineStr">
        <is>
          <t>2026-01-12</t>
        </is>
      </c>
      <c r="B107" t="n">
        <v>0</v>
      </c>
      <c r="C107" t="n">
        <v>23.6</v>
      </c>
      <c r="D107" t="n">
        <v>39</v>
      </c>
      <c r="E107" t="n">
        <v>28</v>
      </c>
      <c r="F107" t="inlineStr">
        <is>
          <t>Heatwave</t>
        </is>
      </c>
    </row>
    <row r="108">
      <c r="A108" t="inlineStr">
        <is>
          <t>2026-01-13</t>
        </is>
      </c>
      <c r="B108" t="n">
        <v>0</v>
      </c>
      <c r="C108" t="n">
        <v>15.4</v>
      </c>
      <c r="D108" t="n">
        <v>25.7</v>
      </c>
      <c r="E108" t="n">
        <v>61</v>
      </c>
      <c r="F108" t="inlineStr">
        <is>
          <t>Normal</t>
        </is>
      </c>
    </row>
    <row r="109">
      <c r="A109" t="inlineStr">
        <is>
          <t>2026-01-14</t>
        </is>
      </c>
      <c r="B109" t="n">
        <v>0</v>
      </c>
      <c r="C109" t="n">
        <v>15.5</v>
      </c>
      <c r="D109" t="n">
        <v>28.5</v>
      </c>
      <c r="E109" t="n">
        <v>64</v>
      </c>
      <c r="F109" t="inlineStr">
        <is>
          <t>Normal</t>
        </is>
      </c>
    </row>
    <row r="110">
      <c r="A110" t="inlineStr">
        <is>
          <t>2026-01-15</t>
        </is>
      </c>
      <c r="B110" t="n">
        <v>5.9</v>
      </c>
      <c r="C110" t="n">
        <v>17.7</v>
      </c>
      <c r="D110" t="n">
        <v>25.7</v>
      </c>
      <c r="E110" t="n">
        <v>65</v>
      </c>
      <c r="F110" t="inlineStr">
        <is>
          <t>Normal</t>
        </is>
      </c>
    </row>
    <row r="111">
      <c r="A111" t="inlineStr">
        <is>
          <t>2026-01-16</t>
        </is>
      </c>
      <c r="B111" t="n">
        <v>0</v>
      </c>
      <c r="C111" t="n">
        <v>15.3</v>
      </c>
      <c r="D111" t="n">
        <v>27.7</v>
      </c>
      <c r="E111" t="n">
        <v>69</v>
      </c>
      <c r="F111" t="inlineStr">
        <is>
          <t>Normal</t>
        </is>
      </c>
    </row>
    <row r="112">
      <c r="A112" t="inlineStr">
        <is>
          <t>2026-01-17</t>
        </is>
      </c>
      <c r="B112" t="n">
        <v>0</v>
      </c>
      <c r="C112" t="n">
        <v>16.7</v>
      </c>
      <c r="D112" t="n">
        <v>25.3</v>
      </c>
      <c r="E112" t="n">
        <v>60</v>
      </c>
      <c r="F112" t="inlineStr">
        <is>
          <t>Normal</t>
        </is>
      </c>
    </row>
    <row r="113">
      <c r="A113" t="inlineStr">
        <is>
          <t>2026-01-18</t>
        </is>
      </c>
      <c r="B113" t="n">
        <v>0</v>
      </c>
      <c r="C113" t="n">
        <v>15.5</v>
      </c>
      <c r="D113" t="n">
        <v>27.1</v>
      </c>
      <c r="E113" t="n">
        <v>61</v>
      </c>
      <c r="F113" t="inlineStr">
        <is>
          <t>Normal</t>
        </is>
      </c>
    </row>
    <row r="114">
      <c r="A114" t="inlineStr">
        <is>
          <t>2026-01-19</t>
        </is>
      </c>
      <c r="B114" t="n">
        <v>0</v>
      </c>
      <c r="C114" t="n">
        <v>18</v>
      </c>
      <c r="D114" t="n">
        <v>26.8</v>
      </c>
      <c r="E114" t="n">
        <v>68</v>
      </c>
      <c r="F114" t="inlineStr">
        <is>
          <t>Normal</t>
        </is>
      </c>
    </row>
    <row r="115">
      <c r="A115" t="inlineStr">
        <is>
          <t>2026-01-20</t>
        </is>
      </c>
      <c r="B115" t="n">
        <v>0</v>
      </c>
      <c r="C115" t="n">
        <v>18.5</v>
      </c>
      <c r="D115" t="n">
        <v>27.4</v>
      </c>
      <c r="E115" t="n">
        <v>71</v>
      </c>
      <c r="F115" t="inlineStr">
        <is>
          <t>Normal</t>
        </is>
      </c>
    </row>
    <row r="116">
      <c r="A116" t="inlineStr">
        <is>
          <t>2026-01-21</t>
        </is>
      </c>
      <c r="B116" t="n">
        <v>0</v>
      </c>
      <c r="C116" t="n">
        <v>17</v>
      </c>
      <c r="D116" t="n">
        <v>27.9</v>
      </c>
      <c r="E116" t="n">
        <v>70</v>
      </c>
      <c r="F116" t="inlineStr">
        <is>
          <t>Normal</t>
        </is>
      </c>
    </row>
    <row r="117">
      <c r="A117" t="inlineStr">
        <is>
          <t>2026-01-22</t>
        </is>
      </c>
      <c r="B117" t="n">
        <v>6.2</v>
      </c>
      <c r="C117" t="n">
        <v>17.8</v>
      </c>
      <c r="D117" t="n">
        <v>28.7</v>
      </c>
      <c r="E117" t="n">
        <v>65</v>
      </c>
      <c r="F117" t="inlineStr">
        <is>
          <t>Normal</t>
        </is>
      </c>
    </row>
    <row r="118">
      <c r="A118" t="inlineStr">
        <is>
          <t>2026-01-23</t>
        </is>
      </c>
      <c r="B118" t="n">
        <v>18.8</v>
      </c>
      <c r="C118" t="n">
        <v>17.1</v>
      </c>
      <c r="D118" t="n">
        <v>28.1</v>
      </c>
      <c r="E118" t="n">
        <v>67</v>
      </c>
      <c r="F118" t="inlineStr">
        <is>
          <t>Normal</t>
        </is>
      </c>
    </row>
    <row r="119">
      <c r="A119" t="inlineStr">
        <is>
          <t>2026-01-24</t>
        </is>
      </c>
      <c r="B119" t="n">
        <v>1.2</v>
      </c>
      <c r="C119" t="n">
        <v>16.3</v>
      </c>
      <c r="D119" t="n">
        <v>25.2</v>
      </c>
      <c r="E119" t="n">
        <v>61</v>
      </c>
      <c r="F119" t="inlineStr">
        <is>
          <t>Normal</t>
        </is>
      </c>
    </row>
    <row r="120">
      <c r="A120" t="inlineStr">
        <is>
          <t>2026-01-25</t>
        </is>
      </c>
      <c r="B120" t="n">
        <v>41.4</v>
      </c>
      <c r="C120" t="n">
        <v>15.5</v>
      </c>
      <c r="D120" t="n">
        <v>24.5</v>
      </c>
      <c r="E120" t="n">
        <v>77</v>
      </c>
      <c r="F120" t="inlineStr">
        <is>
          <t>Hailstorm</t>
        </is>
      </c>
    </row>
    <row r="121">
      <c r="A121" t="inlineStr">
        <is>
          <t>2026-01-26</t>
        </is>
      </c>
      <c r="B121" t="n">
        <v>4.8</v>
      </c>
      <c r="C121" t="n">
        <v>17.1</v>
      </c>
      <c r="D121" t="n">
        <v>26.6</v>
      </c>
      <c r="E121" t="n">
        <v>64</v>
      </c>
      <c r="F121" t="inlineStr">
        <is>
          <t>Normal</t>
        </is>
      </c>
    </row>
    <row r="122">
      <c r="A122" t="inlineStr">
        <is>
          <t>2026-01-27</t>
        </is>
      </c>
      <c r="B122" t="n">
        <v>0</v>
      </c>
      <c r="C122" t="n">
        <v>18.4</v>
      </c>
      <c r="D122" t="n">
        <v>26.7</v>
      </c>
      <c r="E122" t="n">
        <v>66</v>
      </c>
      <c r="F122" t="inlineStr">
        <is>
          <t>Normal</t>
        </is>
      </c>
    </row>
    <row r="123">
      <c r="A123" t="inlineStr">
        <is>
          <t>2026-01-28</t>
        </is>
      </c>
      <c r="B123" t="n">
        <v>0</v>
      </c>
      <c r="C123" t="n">
        <v>17.9</v>
      </c>
      <c r="D123" t="n">
        <v>28.5</v>
      </c>
      <c r="E123" t="n">
        <v>63</v>
      </c>
      <c r="F123" t="inlineStr">
        <is>
          <t>Normal</t>
        </is>
      </c>
    </row>
    <row r="124">
      <c r="A124" t="inlineStr">
        <is>
          <t>2026-01-29</t>
        </is>
      </c>
      <c r="B124" t="n">
        <v>0</v>
      </c>
      <c r="C124" t="n">
        <v>18.5</v>
      </c>
      <c r="D124" t="n">
        <v>28.5</v>
      </c>
      <c r="E124" t="n">
        <v>64</v>
      </c>
      <c r="F124" t="inlineStr">
        <is>
          <t>Normal</t>
        </is>
      </c>
    </row>
    <row r="125">
      <c r="A125" t="inlineStr">
        <is>
          <t>2026-01-30</t>
        </is>
      </c>
      <c r="B125" t="n">
        <v>18.1</v>
      </c>
      <c r="C125" t="n">
        <v>17.4</v>
      </c>
      <c r="D125" t="n">
        <v>27.2</v>
      </c>
      <c r="E125" t="n">
        <v>61</v>
      </c>
      <c r="F125" t="inlineStr">
        <is>
          <t>Normal</t>
        </is>
      </c>
    </row>
    <row r="126">
      <c r="A126" t="inlineStr">
        <is>
          <t>2026-01-31</t>
        </is>
      </c>
      <c r="B126" t="n">
        <v>0</v>
      </c>
      <c r="C126" t="n">
        <v>15.4</v>
      </c>
      <c r="D126" t="n">
        <v>26.7</v>
      </c>
      <c r="E126" t="n">
        <v>62</v>
      </c>
      <c r="F126" t="inlineStr">
        <is>
          <t>Normal</t>
        </is>
      </c>
    </row>
    <row r="127">
      <c r="A127" t="inlineStr">
        <is>
          <t>2026-02-01</t>
        </is>
      </c>
      <c r="B127" t="n">
        <v>4.5</v>
      </c>
      <c r="C127" t="n">
        <v>15.9</v>
      </c>
      <c r="D127" t="n">
        <v>26.6</v>
      </c>
      <c r="E127" t="n">
        <v>64</v>
      </c>
      <c r="F127" t="inlineStr">
        <is>
          <t>Normal</t>
        </is>
      </c>
    </row>
    <row r="128">
      <c r="A128" t="inlineStr">
        <is>
          <t>2026-02-02</t>
        </is>
      </c>
      <c r="B128" t="n">
        <v>0</v>
      </c>
      <c r="C128" t="n">
        <v>17.2</v>
      </c>
      <c r="D128" t="n">
        <v>26.5</v>
      </c>
      <c r="E128" t="n">
        <v>58</v>
      </c>
      <c r="F128" t="inlineStr">
        <is>
          <t>Normal</t>
        </is>
      </c>
    </row>
    <row r="129">
      <c r="A129" t="inlineStr">
        <is>
          <t>2026-02-03</t>
        </is>
      </c>
      <c r="B129" t="n">
        <v>4.5</v>
      </c>
      <c r="C129" t="n">
        <v>16.9</v>
      </c>
      <c r="D129" t="n">
        <v>25.4</v>
      </c>
      <c r="E129" t="n">
        <v>58</v>
      </c>
      <c r="F129" t="inlineStr">
        <is>
          <t>Normal</t>
        </is>
      </c>
    </row>
    <row r="130">
      <c r="A130" t="inlineStr">
        <is>
          <t>2026-02-04</t>
        </is>
      </c>
      <c r="B130" t="n">
        <v>6.2</v>
      </c>
      <c r="C130" t="n">
        <v>16.4</v>
      </c>
      <c r="D130" t="n">
        <v>25.8</v>
      </c>
      <c r="E130" t="n">
        <v>69</v>
      </c>
      <c r="F130" t="inlineStr">
        <is>
          <t>Normal</t>
        </is>
      </c>
    </row>
    <row r="131">
      <c r="A131" t="inlineStr">
        <is>
          <t>2026-02-05</t>
        </is>
      </c>
      <c r="B131" t="n">
        <v>0</v>
      </c>
      <c r="C131" t="n">
        <v>15.6</v>
      </c>
      <c r="D131" t="n">
        <v>25.9</v>
      </c>
      <c r="E131" t="n">
        <v>58</v>
      </c>
      <c r="F131" t="inlineStr">
        <is>
          <t>Normal</t>
        </is>
      </c>
    </row>
    <row r="132">
      <c r="A132" t="inlineStr">
        <is>
          <t>2026-02-06</t>
        </is>
      </c>
      <c r="B132" t="n">
        <v>0</v>
      </c>
      <c r="C132" t="n">
        <v>16.5</v>
      </c>
      <c r="D132" t="n">
        <v>29.2</v>
      </c>
      <c r="E132" t="n">
        <v>67</v>
      </c>
      <c r="F132" t="inlineStr">
        <is>
          <t>Normal</t>
        </is>
      </c>
    </row>
    <row r="133">
      <c r="A133" t="inlineStr">
        <is>
          <t>2026-02-07</t>
        </is>
      </c>
      <c r="B133" t="n">
        <v>0</v>
      </c>
      <c r="C133" t="n">
        <v>17.9</v>
      </c>
      <c r="D133" t="n">
        <v>27.7</v>
      </c>
      <c r="E133" t="n">
        <v>72</v>
      </c>
      <c r="F133" t="inlineStr">
        <is>
          <t>Normal</t>
        </is>
      </c>
    </row>
    <row r="134">
      <c r="A134" t="inlineStr">
        <is>
          <t>2026-02-08</t>
        </is>
      </c>
      <c r="B134" t="n">
        <v>0</v>
      </c>
      <c r="C134" t="n">
        <v>15.8</v>
      </c>
      <c r="D134" t="n">
        <v>24.9</v>
      </c>
      <c r="E134" t="n">
        <v>59</v>
      </c>
      <c r="F134" t="inlineStr">
        <is>
          <t>Normal</t>
        </is>
      </c>
    </row>
    <row r="135">
      <c r="A135" t="inlineStr">
        <is>
          <t>2026-02-09</t>
        </is>
      </c>
      <c r="B135" t="n">
        <v>0</v>
      </c>
      <c r="C135" t="n">
        <v>16</v>
      </c>
      <c r="D135" t="n">
        <v>27.3</v>
      </c>
      <c r="E135" t="n">
        <v>68</v>
      </c>
      <c r="F135" t="inlineStr">
        <is>
          <t>Normal</t>
        </is>
      </c>
    </row>
    <row r="136">
      <c r="A136" t="inlineStr">
        <is>
          <t>2026-02-10</t>
        </is>
      </c>
      <c r="B136" t="n">
        <v>15.8</v>
      </c>
      <c r="C136" t="n">
        <v>17.4</v>
      </c>
      <c r="D136" t="n">
        <v>25.6</v>
      </c>
      <c r="E136" t="n">
        <v>69</v>
      </c>
      <c r="F136" t="inlineStr">
        <is>
          <t>Normal</t>
        </is>
      </c>
    </row>
    <row r="137">
      <c r="A137" t="inlineStr">
        <is>
          <t>2026-02-11</t>
        </is>
      </c>
      <c r="B137" t="n">
        <v>0</v>
      </c>
      <c r="C137" t="n">
        <v>15.4</v>
      </c>
      <c r="D137" t="n">
        <v>25.3</v>
      </c>
      <c r="E137" t="n">
        <v>62</v>
      </c>
      <c r="F137" t="inlineStr">
        <is>
          <t>Normal</t>
        </is>
      </c>
    </row>
    <row r="138">
      <c r="A138" t="inlineStr">
        <is>
          <t>2026-02-12</t>
        </is>
      </c>
      <c r="B138" t="n">
        <v>0</v>
      </c>
      <c r="C138" t="n">
        <v>16.6</v>
      </c>
      <c r="D138" t="n">
        <v>29</v>
      </c>
      <c r="E138" t="n">
        <v>68</v>
      </c>
      <c r="F138" t="inlineStr">
        <is>
          <t>Normal</t>
        </is>
      </c>
    </row>
    <row r="139">
      <c r="A139" t="inlineStr">
        <is>
          <t>2026-02-13</t>
        </is>
      </c>
      <c r="B139" t="n">
        <v>0</v>
      </c>
      <c r="C139" t="n">
        <v>17.4</v>
      </c>
      <c r="D139" t="n">
        <v>27.8</v>
      </c>
      <c r="E139" t="n">
        <v>59</v>
      </c>
      <c r="F139" t="inlineStr">
        <is>
          <t>Normal</t>
        </is>
      </c>
    </row>
    <row r="140">
      <c r="A140" t="inlineStr">
        <is>
          <t>2026-02-14</t>
        </is>
      </c>
      <c r="B140" t="n">
        <v>0</v>
      </c>
      <c r="C140" t="n">
        <v>17.3</v>
      </c>
      <c r="D140" t="n">
        <v>28.5</v>
      </c>
      <c r="E140" t="n">
        <v>59</v>
      </c>
      <c r="F140" t="inlineStr">
        <is>
          <t>Normal</t>
        </is>
      </c>
    </row>
    <row r="141">
      <c r="A141" t="inlineStr">
        <is>
          <t>2026-02-15</t>
        </is>
      </c>
      <c r="B141" t="n">
        <v>0</v>
      </c>
      <c r="C141" t="n">
        <v>16.5</v>
      </c>
      <c r="D141" t="n">
        <v>28.2</v>
      </c>
      <c r="E141" t="n">
        <v>64</v>
      </c>
      <c r="F141" t="inlineStr">
        <is>
          <t>Normal</t>
        </is>
      </c>
    </row>
    <row r="142">
      <c r="A142" t="inlineStr">
        <is>
          <t>2026-02-16</t>
        </is>
      </c>
      <c r="B142" t="n">
        <v>0</v>
      </c>
      <c r="C142" t="n">
        <v>18.1</v>
      </c>
      <c r="D142" t="n">
        <v>28.5</v>
      </c>
      <c r="E142" t="n">
        <v>59</v>
      </c>
      <c r="F142" t="inlineStr">
        <is>
          <t>Normal</t>
        </is>
      </c>
    </row>
    <row r="143">
      <c r="A143" t="inlineStr">
        <is>
          <t>2026-02-17</t>
        </is>
      </c>
      <c r="B143" t="n">
        <v>5.7</v>
      </c>
      <c r="C143" t="n">
        <v>18.1</v>
      </c>
      <c r="D143" t="n">
        <v>27.6</v>
      </c>
      <c r="E143" t="n">
        <v>68</v>
      </c>
      <c r="F143" t="inlineStr">
        <is>
          <t>Normal</t>
        </is>
      </c>
    </row>
    <row r="144">
      <c r="A144" t="inlineStr">
        <is>
          <t>2026-02-18</t>
        </is>
      </c>
      <c r="B144" t="n">
        <v>0</v>
      </c>
      <c r="C144" t="n">
        <v>18.6</v>
      </c>
      <c r="D144" t="n">
        <v>28</v>
      </c>
      <c r="E144" t="n">
        <v>61</v>
      </c>
      <c r="F144" t="inlineStr">
        <is>
          <t>Normal</t>
        </is>
      </c>
    </row>
    <row r="145">
      <c r="A145" t="inlineStr">
        <is>
          <t>2026-02-19</t>
        </is>
      </c>
      <c r="B145" t="n">
        <v>0</v>
      </c>
      <c r="C145" t="n">
        <v>16.9</v>
      </c>
      <c r="D145" t="n">
        <v>27.2</v>
      </c>
      <c r="E145" t="n">
        <v>64</v>
      </c>
      <c r="F145" t="inlineStr">
        <is>
          <t>Normal</t>
        </is>
      </c>
    </row>
    <row r="146">
      <c r="A146" t="inlineStr">
        <is>
          <t>2026-02-20</t>
        </is>
      </c>
      <c r="B146" t="n">
        <v>11</v>
      </c>
      <c r="C146" t="n">
        <v>18.2</v>
      </c>
      <c r="D146" t="n">
        <v>26</v>
      </c>
      <c r="E146" t="n">
        <v>70</v>
      </c>
      <c r="F146" t="inlineStr">
        <is>
          <t>Normal</t>
        </is>
      </c>
    </row>
    <row r="147">
      <c r="A147" t="inlineStr">
        <is>
          <t>2026-02-21</t>
        </is>
      </c>
      <c r="B147" t="n">
        <v>1.4</v>
      </c>
      <c r="C147" t="n">
        <v>17.4</v>
      </c>
      <c r="D147" t="n">
        <v>26.8</v>
      </c>
      <c r="E147" t="n">
        <v>63</v>
      </c>
      <c r="F147" t="inlineStr">
        <is>
          <t>Normal</t>
        </is>
      </c>
    </row>
    <row r="148">
      <c r="A148" t="inlineStr">
        <is>
          <t>2026-02-22</t>
        </is>
      </c>
      <c r="B148" t="n">
        <v>0</v>
      </c>
      <c r="C148" t="n">
        <v>15.9</v>
      </c>
      <c r="D148" t="n">
        <v>28.5</v>
      </c>
      <c r="E148" t="n">
        <v>61</v>
      </c>
      <c r="F148" t="inlineStr">
        <is>
          <t>Normal</t>
        </is>
      </c>
    </row>
    <row r="149">
      <c r="A149" t="inlineStr">
        <is>
          <t>2026-02-23</t>
        </is>
      </c>
      <c r="B149" t="n">
        <v>27.8</v>
      </c>
      <c r="C149" t="n">
        <v>18.3</v>
      </c>
      <c r="D149" t="n">
        <v>26.3</v>
      </c>
      <c r="E149" t="n">
        <v>68</v>
      </c>
      <c r="F149" t="inlineStr">
        <is>
          <t>Normal</t>
        </is>
      </c>
    </row>
    <row r="150">
      <c r="A150" t="inlineStr">
        <is>
          <t>2026-02-24</t>
        </is>
      </c>
      <c r="B150" t="n">
        <v>0</v>
      </c>
      <c r="C150" t="n">
        <v>17.7</v>
      </c>
      <c r="D150" t="n">
        <v>25.2</v>
      </c>
      <c r="E150" t="n">
        <v>65</v>
      </c>
      <c r="F150" t="inlineStr">
        <is>
          <t>Normal</t>
        </is>
      </c>
    </row>
    <row r="151">
      <c r="A151" t="inlineStr">
        <is>
          <t>2026-02-25</t>
        </is>
      </c>
      <c r="B151" t="n">
        <v>0</v>
      </c>
      <c r="C151" t="n">
        <v>17.5</v>
      </c>
      <c r="D151" t="n">
        <v>27.8</v>
      </c>
      <c r="E151" t="n">
        <v>65</v>
      </c>
      <c r="F151" t="inlineStr">
        <is>
          <t>Normal</t>
        </is>
      </c>
    </row>
    <row r="152">
      <c r="A152" t="inlineStr">
        <is>
          <t>2026-02-26</t>
        </is>
      </c>
      <c r="B152" t="n">
        <v>7.4</v>
      </c>
      <c r="C152" t="n">
        <v>16.1</v>
      </c>
      <c r="D152" t="n">
        <v>25.2</v>
      </c>
      <c r="E152" t="n">
        <v>68</v>
      </c>
      <c r="F152" t="inlineStr">
        <is>
          <t>Normal</t>
        </is>
      </c>
    </row>
    <row r="153">
      <c r="A153" t="inlineStr">
        <is>
          <t>2026-02-27</t>
        </is>
      </c>
      <c r="B153" t="n">
        <v>5.8</v>
      </c>
      <c r="C153" t="n">
        <v>16.9</v>
      </c>
      <c r="D153" t="n">
        <v>27.4</v>
      </c>
      <c r="E153" t="n">
        <v>65</v>
      </c>
      <c r="F153" t="inlineStr">
        <is>
          <t>Normal</t>
        </is>
      </c>
    </row>
    <row r="154">
      <c r="A154" t="inlineStr">
        <is>
          <t>2026-02-28</t>
        </is>
      </c>
      <c r="B154" t="n">
        <v>0</v>
      </c>
      <c r="C154" t="n">
        <v>16.2</v>
      </c>
      <c r="D154" t="n">
        <v>27.9</v>
      </c>
      <c r="E154" t="n">
        <v>61</v>
      </c>
      <c r="F154" t="inlineStr">
        <is>
          <t>Normal</t>
        </is>
      </c>
    </row>
    <row r="155">
      <c r="A155" t="inlineStr">
        <is>
          <t>2026-03-01</t>
        </is>
      </c>
      <c r="B155" t="n">
        <v>0</v>
      </c>
      <c r="C155" t="n">
        <v>15.7</v>
      </c>
      <c r="D155" t="n">
        <v>25.7</v>
      </c>
      <c r="E155" t="n">
        <v>66</v>
      </c>
      <c r="F155" t="inlineStr">
        <is>
          <t>Normal</t>
        </is>
      </c>
    </row>
    <row r="156">
      <c r="A156" t="inlineStr">
        <is>
          <t>2026-03-02</t>
        </is>
      </c>
      <c r="B156" t="n">
        <v>0</v>
      </c>
      <c r="C156" t="n">
        <v>16</v>
      </c>
      <c r="D156" t="n">
        <v>25.6</v>
      </c>
      <c r="E156" t="n">
        <v>65</v>
      </c>
      <c r="F156" t="inlineStr">
        <is>
          <t>Normal</t>
        </is>
      </c>
    </row>
    <row r="157">
      <c r="A157" t="inlineStr">
        <is>
          <t>2026-03-03</t>
        </is>
      </c>
      <c r="B157" t="n">
        <v>8.199999999999999</v>
      </c>
      <c r="C157" t="n">
        <v>17.1</v>
      </c>
      <c r="D157" t="n">
        <v>29.1</v>
      </c>
      <c r="E157" t="n">
        <v>62</v>
      </c>
      <c r="F157" t="inlineStr">
        <is>
          <t>Normal</t>
        </is>
      </c>
    </row>
    <row r="158">
      <c r="A158" t="inlineStr">
        <is>
          <t>2026-03-04</t>
        </is>
      </c>
      <c r="B158" t="n">
        <v>12.1</v>
      </c>
      <c r="C158" t="n">
        <v>15.3</v>
      </c>
      <c r="D158" t="n">
        <v>25.6</v>
      </c>
      <c r="E158" t="n">
        <v>66</v>
      </c>
      <c r="F158" t="inlineStr">
        <is>
          <t>Normal</t>
        </is>
      </c>
    </row>
    <row r="159">
      <c r="A159" t="inlineStr">
        <is>
          <t>2026-03-05</t>
        </is>
      </c>
      <c r="B159" t="n">
        <v>13.1</v>
      </c>
      <c r="C159" t="n">
        <v>17.2</v>
      </c>
      <c r="D159" t="n">
        <v>29</v>
      </c>
      <c r="E159" t="n">
        <v>68</v>
      </c>
      <c r="F159" t="inlineStr">
        <is>
          <t>Normal</t>
        </is>
      </c>
    </row>
    <row r="160">
      <c r="A160" t="inlineStr">
        <is>
          <t>2026-03-06</t>
        </is>
      </c>
      <c r="B160" t="n">
        <v>0</v>
      </c>
      <c r="C160" t="n">
        <v>17.3</v>
      </c>
      <c r="D160" t="n">
        <v>28.6</v>
      </c>
      <c r="E160" t="n">
        <v>65</v>
      </c>
      <c r="F160" t="inlineStr">
        <is>
          <t>Normal</t>
        </is>
      </c>
    </row>
    <row r="161">
      <c r="A161" t="inlineStr">
        <is>
          <t>2026-03-07</t>
        </is>
      </c>
      <c r="B161" t="n">
        <v>0</v>
      </c>
      <c r="C161" t="n">
        <v>15.5</v>
      </c>
      <c r="D161" t="n">
        <v>25.6</v>
      </c>
      <c r="E161" t="n">
        <v>72</v>
      </c>
      <c r="F161" t="inlineStr">
        <is>
          <t>Normal</t>
        </is>
      </c>
    </row>
    <row r="162">
      <c r="A162" t="inlineStr">
        <is>
          <t>2026-03-08</t>
        </is>
      </c>
      <c r="B162" t="n">
        <v>0</v>
      </c>
      <c r="C162" t="n">
        <v>16.7</v>
      </c>
      <c r="D162" t="n">
        <v>28.4</v>
      </c>
      <c r="E162" t="n">
        <v>58</v>
      </c>
      <c r="F162" t="inlineStr">
        <is>
          <t>Normal</t>
        </is>
      </c>
    </row>
    <row r="163">
      <c r="A163" t="inlineStr">
        <is>
          <t>2026-03-09</t>
        </is>
      </c>
      <c r="B163" t="n">
        <v>10.5</v>
      </c>
      <c r="C163" t="n">
        <v>15.8</v>
      </c>
      <c r="D163" t="n">
        <v>25.1</v>
      </c>
      <c r="E163" t="n">
        <v>66</v>
      </c>
      <c r="F163" t="inlineStr">
        <is>
          <t>Normal</t>
        </is>
      </c>
    </row>
    <row r="164">
      <c r="A164" t="inlineStr">
        <is>
          <t>2026-03-10</t>
        </is>
      </c>
      <c r="B164" t="n">
        <v>5.8</v>
      </c>
      <c r="C164" t="n">
        <v>17.4</v>
      </c>
      <c r="D164" t="n">
        <v>28.1</v>
      </c>
      <c r="E164" t="n">
        <v>70</v>
      </c>
      <c r="F164" t="inlineStr">
        <is>
          <t>Normal</t>
        </is>
      </c>
    </row>
    <row r="165">
      <c r="A165" t="inlineStr">
        <is>
          <t>2026-03-11</t>
        </is>
      </c>
      <c r="B165" t="n">
        <v>0</v>
      </c>
      <c r="C165" t="n">
        <v>16.8</v>
      </c>
      <c r="D165" t="n">
        <v>27.1</v>
      </c>
      <c r="E165" t="n">
        <v>64</v>
      </c>
      <c r="F165" t="inlineStr">
        <is>
          <t>Normal</t>
        </is>
      </c>
    </row>
    <row r="166">
      <c r="A166" t="inlineStr">
        <is>
          <t>2026-03-12</t>
        </is>
      </c>
      <c r="B166" t="n">
        <v>0</v>
      </c>
      <c r="C166" t="n">
        <v>16.3</v>
      </c>
      <c r="D166" t="n">
        <v>29.1</v>
      </c>
      <c r="E166" t="n">
        <v>67</v>
      </c>
      <c r="F166" t="inlineStr">
        <is>
          <t>Normal</t>
        </is>
      </c>
    </row>
    <row r="167">
      <c r="A167" t="inlineStr">
        <is>
          <t>2026-03-13</t>
        </is>
      </c>
      <c r="B167" t="n">
        <v>3.2</v>
      </c>
      <c r="C167" t="n">
        <v>18.5</v>
      </c>
      <c r="D167" t="n">
        <v>28</v>
      </c>
      <c r="E167" t="n">
        <v>60</v>
      </c>
      <c r="F167" t="inlineStr">
        <is>
          <t>Normal</t>
        </is>
      </c>
    </row>
    <row r="168">
      <c r="A168" t="inlineStr">
        <is>
          <t>2026-03-14</t>
        </is>
      </c>
      <c r="B168" t="n">
        <v>0</v>
      </c>
      <c r="C168" t="n">
        <v>15.6</v>
      </c>
      <c r="D168" t="n">
        <v>25.6</v>
      </c>
      <c r="E168" t="n">
        <v>57</v>
      </c>
      <c r="F168" t="inlineStr">
        <is>
          <t>Normal</t>
        </is>
      </c>
    </row>
    <row r="169">
      <c r="A169" t="inlineStr">
        <is>
          <t>2026-03-15</t>
        </is>
      </c>
      <c r="B169" t="n">
        <v>0</v>
      </c>
      <c r="C169" t="n">
        <v>16.3</v>
      </c>
      <c r="D169" t="n">
        <v>27.4</v>
      </c>
      <c r="E169" t="n">
        <v>61</v>
      </c>
      <c r="F169" t="inlineStr">
        <is>
          <t>Normal</t>
        </is>
      </c>
    </row>
    <row r="170">
      <c r="A170" t="inlineStr">
        <is>
          <t>2026-03-16</t>
        </is>
      </c>
      <c r="B170" t="n">
        <v>0</v>
      </c>
      <c r="C170" t="n">
        <v>16.8</v>
      </c>
      <c r="D170" t="n">
        <v>27.9</v>
      </c>
      <c r="E170" t="n">
        <v>68</v>
      </c>
      <c r="F170" t="inlineStr">
        <is>
          <t>Normal</t>
        </is>
      </c>
    </row>
    <row r="171">
      <c r="A171" t="inlineStr">
        <is>
          <t>2026-03-17</t>
        </is>
      </c>
      <c r="B171" t="n">
        <v>0</v>
      </c>
      <c r="C171" t="n">
        <v>17.4</v>
      </c>
      <c r="D171" t="n">
        <v>28.2</v>
      </c>
      <c r="E171" t="n">
        <v>68</v>
      </c>
      <c r="F171" t="inlineStr">
        <is>
          <t>Normal</t>
        </is>
      </c>
    </row>
    <row r="172">
      <c r="A172" t="inlineStr">
        <is>
          <t>2026-03-18</t>
        </is>
      </c>
      <c r="B172" t="n">
        <v>0</v>
      </c>
      <c r="C172" t="n">
        <v>17.2</v>
      </c>
      <c r="D172" t="n">
        <v>26.7</v>
      </c>
      <c r="E172" t="n">
        <v>67</v>
      </c>
      <c r="F172" t="inlineStr">
        <is>
          <t>Normal</t>
        </is>
      </c>
    </row>
    <row r="173">
      <c r="A173" t="inlineStr">
        <is>
          <t>2026-03-19</t>
        </is>
      </c>
      <c r="B173" t="n">
        <v>1.6</v>
      </c>
      <c r="C173" t="n">
        <v>15.5</v>
      </c>
      <c r="D173" t="n">
        <v>28.4</v>
      </c>
      <c r="E173" t="n">
        <v>60</v>
      </c>
      <c r="F173" t="inlineStr">
        <is>
          <t>Normal</t>
        </is>
      </c>
    </row>
    <row r="174">
      <c r="A174" t="inlineStr">
        <is>
          <t>2026-03-20</t>
        </is>
      </c>
      <c r="B174" t="n">
        <v>0.8</v>
      </c>
      <c r="C174" t="n">
        <v>17.2</v>
      </c>
      <c r="D174" t="n">
        <v>28.1</v>
      </c>
      <c r="E174" t="n">
        <v>62</v>
      </c>
      <c r="F174" t="inlineStr">
        <is>
          <t>Normal</t>
        </is>
      </c>
    </row>
    <row r="175">
      <c r="A175" t="inlineStr">
        <is>
          <t>2026-03-21</t>
        </is>
      </c>
      <c r="B175" t="n">
        <v>0</v>
      </c>
      <c r="C175" t="n">
        <v>17</v>
      </c>
      <c r="D175" t="n">
        <v>28.9</v>
      </c>
      <c r="E175" t="n">
        <v>65</v>
      </c>
      <c r="F175" t="inlineStr">
        <is>
          <t>Normal</t>
        </is>
      </c>
    </row>
    <row r="176">
      <c r="A176" t="inlineStr">
        <is>
          <t>2026-03-22</t>
        </is>
      </c>
      <c r="B176" t="n">
        <v>25.3</v>
      </c>
      <c r="C176" t="n">
        <v>16.8</v>
      </c>
      <c r="D176" t="n">
        <v>25</v>
      </c>
      <c r="E176" t="n">
        <v>62</v>
      </c>
      <c r="F176" t="inlineStr">
        <is>
          <t>Normal</t>
        </is>
      </c>
    </row>
    <row r="177">
      <c r="A177" t="inlineStr">
        <is>
          <t>2026-03-23</t>
        </is>
      </c>
      <c r="B177" t="n">
        <v>0</v>
      </c>
      <c r="C177" t="n">
        <v>17.3</v>
      </c>
      <c r="D177" t="n">
        <v>28.5</v>
      </c>
      <c r="E177" t="n">
        <v>72</v>
      </c>
      <c r="F177" t="inlineStr">
        <is>
          <t>Normal</t>
        </is>
      </c>
    </row>
    <row r="178">
      <c r="A178" t="inlineStr">
        <is>
          <t>2026-03-24</t>
        </is>
      </c>
      <c r="B178" t="n">
        <v>0</v>
      </c>
      <c r="C178" t="n">
        <v>16.2</v>
      </c>
      <c r="D178" t="n">
        <v>27.7</v>
      </c>
      <c r="E178" t="n">
        <v>58</v>
      </c>
      <c r="F178" t="inlineStr">
        <is>
          <t>Normal</t>
        </is>
      </c>
    </row>
    <row r="179">
      <c r="A179" t="inlineStr">
        <is>
          <t>2026-03-25</t>
        </is>
      </c>
      <c r="B179" t="n">
        <v>18.5</v>
      </c>
      <c r="C179" t="n">
        <v>17.5</v>
      </c>
      <c r="D179" t="n">
        <v>26.9</v>
      </c>
      <c r="E179" t="n">
        <v>71</v>
      </c>
      <c r="F179" t="inlineStr">
        <is>
          <t>Normal</t>
        </is>
      </c>
    </row>
    <row r="180">
      <c r="A180" t="inlineStr">
        <is>
          <t>2026-03-26</t>
        </is>
      </c>
      <c r="B180" t="n">
        <v>1.3</v>
      </c>
      <c r="C180" t="n">
        <v>17.5</v>
      </c>
      <c r="D180" t="n">
        <v>27.4</v>
      </c>
      <c r="E180" t="n">
        <v>65</v>
      </c>
      <c r="F180" t="inlineStr">
        <is>
          <t>Normal</t>
        </is>
      </c>
    </row>
    <row r="181">
      <c r="A181" t="inlineStr">
        <is>
          <t>2026-03-27</t>
        </is>
      </c>
      <c r="B181" t="n">
        <v>0</v>
      </c>
      <c r="C181" t="n">
        <v>18.2</v>
      </c>
      <c r="D181" t="n">
        <v>27.7</v>
      </c>
      <c r="E181" t="n">
        <v>62</v>
      </c>
      <c r="F181" t="inlineStr">
        <is>
          <t>Normal</t>
        </is>
      </c>
    </row>
    <row r="182">
      <c r="A182" t="inlineStr">
        <is>
          <t>2026-03-28</t>
        </is>
      </c>
      <c r="B182" t="n">
        <v>0</v>
      </c>
      <c r="C182" t="n">
        <v>18.5</v>
      </c>
      <c r="D182" t="n">
        <v>26.1</v>
      </c>
      <c r="E182" t="n">
        <v>70</v>
      </c>
      <c r="F182" t="inlineStr">
        <is>
          <t>Normal</t>
        </is>
      </c>
    </row>
    <row r="183">
      <c r="A183" t="inlineStr">
        <is>
          <t>2026-03-29</t>
        </is>
      </c>
      <c r="B183" t="n">
        <v>0</v>
      </c>
      <c r="C183" t="n">
        <v>16.4</v>
      </c>
      <c r="D183" t="n">
        <v>26.8</v>
      </c>
      <c r="E183" t="n">
        <v>62</v>
      </c>
      <c r="F183" t="inlineStr">
        <is>
          <t>Normal</t>
        </is>
      </c>
    </row>
    <row r="184">
      <c r="A184" t="inlineStr">
        <is>
          <t>2026-03-30</t>
        </is>
      </c>
      <c r="B184" t="n">
        <v>0</v>
      </c>
      <c r="C184" t="n">
        <v>17</v>
      </c>
      <c r="D184" t="n">
        <v>26.6</v>
      </c>
      <c r="E184" t="n">
        <v>73</v>
      </c>
      <c r="F184" t="inlineStr">
        <is>
          <t>Normal</t>
        </is>
      </c>
    </row>
    <row r="185">
      <c r="A185" t="inlineStr">
        <is>
          <t>2026-03-31</t>
        </is>
      </c>
      <c r="B185" t="n">
        <v>12.6</v>
      </c>
      <c r="C185" t="n">
        <v>16.7</v>
      </c>
      <c r="D185" t="n">
        <v>27.2</v>
      </c>
      <c r="E185" t="n">
        <v>60</v>
      </c>
      <c r="F185" t="inlineStr">
        <is>
          <t>Normal</t>
        </is>
      </c>
    </row>
    <row r="186">
      <c r="A186" t="inlineStr">
        <is>
          <t>2026-04-01</t>
        </is>
      </c>
      <c r="B186" t="n">
        <v>0</v>
      </c>
      <c r="C186" t="n">
        <v>8.4</v>
      </c>
      <c r="D186" t="n">
        <v>24.2</v>
      </c>
      <c r="E186" t="n">
        <v>45</v>
      </c>
      <c r="F186" t="inlineStr">
        <is>
          <t>Normal</t>
        </is>
      </c>
    </row>
    <row r="187">
      <c r="A187" t="inlineStr">
        <is>
          <t>2026-04-02</t>
        </is>
      </c>
      <c r="B187" t="n">
        <v>0</v>
      </c>
      <c r="C187" t="n">
        <v>8.199999999999999</v>
      </c>
      <c r="D187" t="n">
        <v>21.6</v>
      </c>
      <c r="E187" t="n">
        <v>47</v>
      </c>
      <c r="F187" t="inlineStr">
        <is>
          <t>Normal</t>
        </is>
      </c>
    </row>
    <row r="188">
      <c r="A188" t="inlineStr">
        <is>
          <t>2026-04-03</t>
        </is>
      </c>
      <c r="B188" t="n">
        <v>0</v>
      </c>
      <c r="C188" t="n">
        <v>8.6</v>
      </c>
      <c r="D188" t="n">
        <v>22.7</v>
      </c>
      <c r="E188" t="n">
        <v>37</v>
      </c>
      <c r="F188" t="inlineStr">
        <is>
          <t>Normal</t>
        </is>
      </c>
    </row>
    <row r="189">
      <c r="A189" t="inlineStr">
        <is>
          <t>2026-04-04</t>
        </is>
      </c>
      <c r="B189" t="n">
        <v>0</v>
      </c>
      <c r="C189" t="n">
        <v>8.300000000000001</v>
      </c>
      <c r="D189" t="n">
        <v>25.2</v>
      </c>
      <c r="E189" t="n">
        <v>39</v>
      </c>
      <c r="F189" t="inlineStr">
        <is>
          <t>Normal</t>
        </is>
      </c>
    </row>
    <row r="190">
      <c r="A190" t="inlineStr">
        <is>
          <t>2026-04-05</t>
        </is>
      </c>
      <c r="B190" t="n">
        <v>0</v>
      </c>
      <c r="C190" t="n">
        <v>8.199999999999999</v>
      </c>
      <c r="D190" t="n">
        <v>21.4</v>
      </c>
      <c r="E190" t="n">
        <v>43</v>
      </c>
      <c r="F190" t="inlineStr">
        <is>
          <t>Normal</t>
        </is>
      </c>
    </row>
    <row r="191">
      <c r="A191" t="inlineStr">
        <is>
          <t>2026-04-06</t>
        </is>
      </c>
      <c r="B191" t="n">
        <v>0</v>
      </c>
      <c r="C191" t="n">
        <v>9.6</v>
      </c>
      <c r="D191" t="n">
        <v>21.1</v>
      </c>
      <c r="E191" t="n">
        <v>47</v>
      </c>
      <c r="F191" t="inlineStr">
        <is>
          <t>Normal</t>
        </is>
      </c>
    </row>
    <row r="192">
      <c r="A192" t="inlineStr">
        <is>
          <t>2026-04-07</t>
        </is>
      </c>
      <c r="B192" t="n">
        <v>0</v>
      </c>
      <c r="C192" t="n">
        <v>6.8</v>
      </c>
      <c r="D192" t="n">
        <v>22.8</v>
      </c>
      <c r="E192" t="n">
        <v>46</v>
      </c>
      <c r="F192" t="inlineStr">
        <is>
          <t>Normal</t>
        </is>
      </c>
    </row>
    <row r="193">
      <c r="A193" t="inlineStr">
        <is>
          <t>2026-04-08</t>
        </is>
      </c>
      <c r="B193" t="n">
        <v>0</v>
      </c>
      <c r="C193" t="n">
        <v>8.699999999999999</v>
      </c>
      <c r="D193" t="n">
        <v>23</v>
      </c>
      <c r="E193" t="n">
        <v>42</v>
      </c>
      <c r="F193" t="inlineStr">
        <is>
          <t>Normal</t>
        </is>
      </c>
    </row>
    <row r="194">
      <c r="A194" t="inlineStr">
        <is>
          <t>2026-04-09</t>
        </is>
      </c>
      <c r="B194" t="n">
        <v>0</v>
      </c>
      <c r="C194" t="n">
        <v>9.1</v>
      </c>
      <c r="D194" t="n">
        <v>22</v>
      </c>
      <c r="E194" t="n">
        <v>48</v>
      </c>
      <c r="F194" t="inlineStr">
        <is>
          <t>Normal</t>
        </is>
      </c>
    </row>
    <row r="195">
      <c r="A195" t="inlineStr">
        <is>
          <t>2026-04-10</t>
        </is>
      </c>
      <c r="B195" t="n">
        <v>0</v>
      </c>
      <c r="C195" t="n">
        <v>8.199999999999999</v>
      </c>
      <c r="D195" t="n">
        <v>21.8</v>
      </c>
      <c r="E195" t="n">
        <v>41</v>
      </c>
      <c r="F195" t="inlineStr">
        <is>
          <t>Normal</t>
        </is>
      </c>
    </row>
    <row r="196">
      <c r="A196" t="inlineStr">
        <is>
          <t>2026-04-11</t>
        </is>
      </c>
      <c r="B196" t="n">
        <v>0</v>
      </c>
      <c r="C196" t="n">
        <v>8</v>
      </c>
      <c r="D196" t="n">
        <v>24.9</v>
      </c>
      <c r="E196" t="n">
        <v>47</v>
      </c>
      <c r="F196" t="inlineStr">
        <is>
          <t>Normal</t>
        </is>
      </c>
    </row>
    <row r="197">
      <c r="A197" t="inlineStr">
        <is>
          <t>2026-04-12</t>
        </is>
      </c>
      <c r="B197" t="n">
        <v>0</v>
      </c>
      <c r="C197" t="n">
        <v>7.3</v>
      </c>
      <c r="D197" t="n">
        <v>24.7</v>
      </c>
      <c r="E197" t="n">
        <v>46</v>
      </c>
      <c r="F197" t="inlineStr">
        <is>
          <t>Normal</t>
        </is>
      </c>
    </row>
    <row r="198">
      <c r="A198" t="inlineStr">
        <is>
          <t>2026-04-13</t>
        </is>
      </c>
      <c r="B198" t="n">
        <v>0</v>
      </c>
      <c r="C198" t="n">
        <v>9.4</v>
      </c>
      <c r="D198" t="n">
        <v>22.6</v>
      </c>
      <c r="E198" t="n">
        <v>42</v>
      </c>
      <c r="F198" t="inlineStr">
        <is>
          <t>Normal</t>
        </is>
      </c>
    </row>
    <row r="199">
      <c r="A199" t="inlineStr">
        <is>
          <t>2026-04-14</t>
        </is>
      </c>
      <c r="B199" t="n">
        <v>0</v>
      </c>
      <c r="C199" t="n">
        <v>7.3</v>
      </c>
      <c r="D199" t="n">
        <v>24.5</v>
      </c>
      <c r="E199" t="n">
        <v>39</v>
      </c>
      <c r="F199" t="inlineStr">
        <is>
          <t>Normal</t>
        </is>
      </c>
    </row>
    <row r="200">
      <c r="A200" t="inlineStr">
        <is>
          <t>2026-04-15</t>
        </is>
      </c>
      <c r="B200" t="n">
        <v>0</v>
      </c>
      <c r="C200" t="n">
        <v>9.6</v>
      </c>
      <c r="D200" t="n">
        <v>23.4</v>
      </c>
      <c r="E200" t="n">
        <v>42</v>
      </c>
      <c r="F200" t="inlineStr">
        <is>
          <t>Normal</t>
        </is>
      </c>
    </row>
    <row r="201">
      <c r="A201" t="inlineStr">
        <is>
          <t>2026-04-16</t>
        </is>
      </c>
      <c r="B201" t="n">
        <v>0</v>
      </c>
      <c r="C201" t="n">
        <v>8.1</v>
      </c>
      <c r="D201" t="n">
        <v>21.4</v>
      </c>
      <c r="E201" t="n">
        <v>40</v>
      </c>
      <c r="F201" t="inlineStr">
        <is>
          <t>Normal</t>
        </is>
      </c>
    </row>
    <row r="202">
      <c r="A202" t="inlineStr">
        <is>
          <t>2026-04-17</t>
        </is>
      </c>
      <c r="B202" t="n">
        <v>0</v>
      </c>
      <c r="C202" t="n">
        <v>8.1</v>
      </c>
      <c r="D202" t="n">
        <v>23.2</v>
      </c>
      <c r="E202" t="n">
        <v>41</v>
      </c>
      <c r="F202" t="inlineStr">
        <is>
          <t>Normal</t>
        </is>
      </c>
    </row>
    <row r="203">
      <c r="A203" t="inlineStr">
        <is>
          <t>2026-04-18</t>
        </is>
      </c>
      <c r="B203" t="n">
        <v>0</v>
      </c>
      <c r="C203" t="n">
        <v>7</v>
      </c>
      <c r="D203" t="n">
        <v>22.2</v>
      </c>
      <c r="E203" t="n">
        <v>44</v>
      </c>
      <c r="F203" t="inlineStr">
        <is>
          <t>Normal</t>
        </is>
      </c>
    </row>
    <row r="204">
      <c r="A204" t="inlineStr">
        <is>
          <t>2026-04-19</t>
        </is>
      </c>
      <c r="B204" t="n">
        <v>0</v>
      </c>
      <c r="C204" t="n">
        <v>7.1</v>
      </c>
      <c r="D204" t="n">
        <v>23.3</v>
      </c>
      <c r="E204" t="n">
        <v>45</v>
      </c>
      <c r="F204" t="inlineStr">
        <is>
          <t>Normal</t>
        </is>
      </c>
    </row>
    <row r="205">
      <c r="A205" t="inlineStr">
        <is>
          <t>2026-04-20</t>
        </is>
      </c>
      <c r="B205" t="n">
        <v>0</v>
      </c>
      <c r="C205" t="n">
        <v>8.800000000000001</v>
      </c>
      <c r="D205" t="n">
        <v>20.9</v>
      </c>
      <c r="E205" t="n">
        <v>45</v>
      </c>
      <c r="F205" t="inlineStr">
        <is>
          <t>Normal</t>
        </is>
      </c>
    </row>
    <row r="206">
      <c r="A206" t="inlineStr">
        <is>
          <t>2026-04-21</t>
        </is>
      </c>
      <c r="B206" t="n">
        <v>0</v>
      </c>
      <c r="C206" t="n">
        <v>7.6</v>
      </c>
      <c r="D206" t="n">
        <v>24.4</v>
      </c>
      <c r="E206" t="n">
        <v>44</v>
      </c>
      <c r="F206" t="inlineStr">
        <is>
          <t>Normal</t>
        </is>
      </c>
    </row>
    <row r="207">
      <c r="A207" t="inlineStr">
        <is>
          <t>2026-04-22</t>
        </is>
      </c>
      <c r="B207" t="n">
        <v>0</v>
      </c>
      <c r="C207" t="n">
        <v>9.5</v>
      </c>
      <c r="D207" t="n">
        <v>24.5</v>
      </c>
      <c r="E207" t="n">
        <v>42</v>
      </c>
      <c r="F207" t="inlineStr">
        <is>
          <t>Normal</t>
        </is>
      </c>
    </row>
    <row r="208">
      <c r="A208" t="inlineStr">
        <is>
          <t>2026-04-23</t>
        </is>
      </c>
      <c r="B208" t="n">
        <v>0</v>
      </c>
      <c r="C208" t="n">
        <v>8</v>
      </c>
      <c r="D208" t="n">
        <v>20.9</v>
      </c>
      <c r="E208" t="n">
        <v>43</v>
      </c>
      <c r="F208" t="inlineStr">
        <is>
          <t>Normal</t>
        </is>
      </c>
    </row>
    <row r="209">
      <c r="A209" t="inlineStr">
        <is>
          <t>2026-04-24</t>
        </is>
      </c>
      <c r="B209" t="n">
        <v>0</v>
      </c>
      <c r="C209" t="n">
        <v>9.199999999999999</v>
      </c>
      <c r="D209" t="n">
        <v>24.7</v>
      </c>
      <c r="E209" t="n">
        <v>41</v>
      </c>
      <c r="F209" t="inlineStr">
        <is>
          <t>Normal</t>
        </is>
      </c>
    </row>
    <row r="210">
      <c r="A210" t="inlineStr">
        <is>
          <t>2026-04-25</t>
        </is>
      </c>
      <c r="B210" t="n">
        <v>0</v>
      </c>
      <c r="C210" t="n">
        <v>7.9</v>
      </c>
      <c r="D210" t="n">
        <v>23.1</v>
      </c>
      <c r="E210" t="n">
        <v>45</v>
      </c>
      <c r="F210" t="inlineStr">
        <is>
          <t>Normal</t>
        </is>
      </c>
    </row>
    <row r="211">
      <c r="A211" t="inlineStr">
        <is>
          <t>2026-04-26</t>
        </is>
      </c>
      <c r="B211" t="n">
        <v>0</v>
      </c>
      <c r="C211" t="n">
        <v>8.5</v>
      </c>
      <c r="D211" t="n">
        <v>22.6</v>
      </c>
      <c r="E211" t="n">
        <v>38</v>
      </c>
      <c r="F211" t="inlineStr">
        <is>
          <t>Normal</t>
        </is>
      </c>
    </row>
    <row r="212">
      <c r="A212" t="inlineStr">
        <is>
          <t>2026-04-27</t>
        </is>
      </c>
      <c r="B212" t="n">
        <v>0</v>
      </c>
      <c r="C212" t="n">
        <v>9.5</v>
      </c>
      <c r="D212" t="n">
        <v>22.9</v>
      </c>
      <c r="E212" t="n">
        <v>40</v>
      </c>
      <c r="F212" t="inlineStr">
        <is>
          <t>Normal</t>
        </is>
      </c>
    </row>
    <row r="213">
      <c r="A213" t="inlineStr">
        <is>
          <t>2026-04-28</t>
        </is>
      </c>
      <c r="B213" t="n">
        <v>0</v>
      </c>
      <c r="C213" t="n">
        <v>8.5</v>
      </c>
      <c r="D213" t="n">
        <v>23.9</v>
      </c>
      <c r="E213" t="n">
        <v>46</v>
      </c>
      <c r="F213" t="inlineStr">
        <is>
          <t>Normal</t>
        </is>
      </c>
    </row>
    <row r="214">
      <c r="A214" t="inlineStr">
        <is>
          <t>2026-04-29</t>
        </is>
      </c>
      <c r="B214" t="n">
        <v>0</v>
      </c>
      <c r="C214" t="n">
        <v>9.1</v>
      </c>
      <c r="D214" t="n">
        <v>24.6</v>
      </c>
      <c r="E214" t="n">
        <v>40</v>
      </c>
      <c r="F214" t="inlineStr">
        <is>
          <t>Normal</t>
        </is>
      </c>
    </row>
    <row r="215">
      <c r="A215" t="inlineStr">
        <is>
          <t>2026-04-30</t>
        </is>
      </c>
      <c r="B215" t="n">
        <v>0</v>
      </c>
      <c r="C215" t="n">
        <v>8.699999999999999</v>
      </c>
      <c r="D215" t="n">
        <v>22.2</v>
      </c>
      <c r="E215" t="n">
        <v>45</v>
      </c>
      <c r="F215" t="inlineStr">
        <is>
          <t>Normal</t>
        </is>
      </c>
    </row>
    <row r="216">
      <c r="A216" t="inlineStr">
        <is>
          <t>2026-05-01</t>
        </is>
      </c>
      <c r="B216" t="n">
        <v>0</v>
      </c>
      <c r="C216" t="n">
        <v>6.5</v>
      </c>
      <c r="D216" t="n">
        <v>24.7</v>
      </c>
      <c r="E216" t="n">
        <v>37</v>
      </c>
      <c r="F216" t="inlineStr">
        <is>
          <t>Normal</t>
        </is>
      </c>
    </row>
    <row r="217">
      <c r="A217" t="inlineStr">
        <is>
          <t>2026-05-02</t>
        </is>
      </c>
      <c r="B217" t="n">
        <v>0</v>
      </c>
      <c r="C217" t="n">
        <v>9.300000000000001</v>
      </c>
      <c r="D217" t="n">
        <v>23.6</v>
      </c>
      <c r="E217" t="n">
        <v>48</v>
      </c>
      <c r="F217" t="inlineStr">
        <is>
          <t>Normal</t>
        </is>
      </c>
    </row>
    <row r="218">
      <c r="A218" t="inlineStr">
        <is>
          <t>2026-05-03</t>
        </is>
      </c>
      <c r="B218" t="n">
        <v>0</v>
      </c>
      <c r="C218" t="n">
        <v>7.8</v>
      </c>
      <c r="D218" t="n">
        <v>24.1</v>
      </c>
      <c r="E218" t="n">
        <v>37</v>
      </c>
      <c r="F218" t="inlineStr">
        <is>
          <t>Normal</t>
        </is>
      </c>
    </row>
    <row r="219">
      <c r="A219" t="inlineStr">
        <is>
          <t>2026-05-04</t>
        </is>
      </c>
      <c r="B219" t="n">
        <v>0</v>
      </c>
      <c r="C219" t="n">
        <v>9.199999999999999</v>
      </c>
      <c r="D219" t="n">
        <v>23.6</v>
      </c>
      <c r="E219" t="n">
        <v>41</v>
      </c>
      <c r="F219" t="inlineStr">
        <is>
          <t>Normal</t>
        </is>
      </c>
    </row>
    <row r="220">
      <c r="A220" t="inlineStr">
        <is>
          <t>2026-05-05</t>
        </is>
      </c>
      <c r="B220" t="n">
        <v>0</v>
      </c>
      <c r="C220" t="n">
        <v>9.300000000000001</v>
      </c>
      <c r="D220" t="n">
        <v>23.9</v>
      </c>
      <c r="E220" t="n">
        <v>36</v>
      </c>
      <c r="F220" t="inlineStr">
        <is>
          <t>Normal</t>
        </is>
      </c>
    </row>
    <row r="221">
      <c r="A221" t="inlineStr">
        <is>
          <t>2026-05-06</t>
        </is>
      </c>
      <c r="B221" t="n">
        <v>0</v>
      </c>
      <c r="C221" t="n">
        <v>7.3</v>
      </c>
      <c r="D221" t="n">
        <v>24.4</v>
      </c>
      <c r="E221" t="n">
        <v>40</v>
      </c>
      <c r="F221" t="inlineStr">
        <is>
          <t>Normal</t>
        </is>
      </c>
    </row>
    <row r="222">
      <c r="A222" t="inlineStr">
        <is>
          <t>2026-05-07</t>
        </is>
      </c>
      <c r="B222" t="n">
        <v>0</v>
      </c>
      <c r="C222" t="n">
        <v>8.1</v>
      </c>
      <c r="D222" t="n">
        <v>21.4</v>
      </c>
      <c r="E222" t="n">
        <v>43</v>
      </c>
      <c r="F222" t="inlineStr">
        <is>
          <t>Normal</t>
        </is>
      </c>
    </row>
    <row r="223">
      <c r="A223" t="inlineStr">
        <is>
          <t>2026-05-08</t>
        </is>
      </c>
      <c r="B223" t="n">
        <v>0</v>
      </c>
      <c r="C223" t="n">
        <v>6.9</v>
      </c>
      <c r="D223" t="n">
        <v>24.3</v>
      </c>
      <c r="E223" t="n">
        <v>37</v>
      </c>
      <c r="F223" t="inlineStr">
        <is>
          <t>Normal</t>
        </is>
      </c>
    </row>
    <row r="224">
      <c r="A224" t="inlineStr">
        <is>
          <t>2026-05-09</t>
        </is>
      </c>
      <c r="B224" t="n">
        <v>0</v>
      </c>
      <c r="C224" t="n">
        <v>8.4</v>
      </c>
      <c r="D224" t="n">
        <v>24.7</v>
      </c>
      <c r="E224" t="n">
        <v>39</v>
      </c>
      <c r="F224" t="inlineStr">
        <is>
          <t>Normal</t>
        </is>
      </c>
    </row>
    <row r="225">
      <c r="A225" t="inlineStr">
        <is>
          <t>2026-05-10</t>
        </is>
      </c>
      <c r="B225" t="n">
        <v>0</v>
      </c>
      <c r="C225" t="n">
        <v>6.9</v>
      </c>
      <c r="D225" t="n">
        <v>24.9</v>
      </c>
      <c r="E225" t="n">
        <v>42</v>
      </c>
      <c r="F225" t="inlineStr">
        <is>
          <t>Normal</t>
        </is>
      </c>
    </row>
    <row r="226">
      <c r="A226" t="inlineStr">
        <is>
          <t>2026-05-11</t>
        </is>
      </c>
      <c r="B226" t="n">
        <v>0</v>
      </c>
      <c r="C226" t="n">
        <v>7.2</v>
      </c>
      <c r="D226" t="n">
        <v>21.9</v>
      </c>
      <c r="E226" t="n">
        <v>36</v>
      </c>
      <c r="F226" t="inlineStr">
        <is>
          <t>Normal</t>
        </is>
      </c>
    </row>
    <row r="227">
      <c r="A227" t="inlineStr">
        <is>
          <t>2026-05-12</t>
        </is>
      </c>
      <c r="B227" t="n">
        <v>0</v>
      </c>
      <c r="C227" t="n">
        <v>9.300000000000001</v>
      </c>
      <c r="D227" t="n">
        <v>24.4</v>
      </c>
      <c r="E227" t="n">
        <v>44</v>
      </c>
      <c r="F227" t="inlineStr">
        <is>
          <t>Normal</t>
        </is>
      </c>
    </row>
    <row r="228">
      <c r="A228" t="inlineStr">
        <is>
          <t>2026-05-13</t>
        </is>
      </c>
      <c r="B228" t="n">
        <v>0</v>
      </c>
      <c r="C228" t="n">
        <v>7.8</v>
      </c>
      <c r="D228" t="n">
        <v>21.4</v>
      </c>
      <c r="E228" t="n">
        <v>40</v>
      </c>
      <c r="F228" t="inlineStr">
        <is>
          <t>Normal</t>
        </is>
      </c>
    </row>
    <row r="229">
      <c r="A229" t="inlineStr">
        <is>
          <t>2026-05-14</t>
        </is>
      </c>
      <c r="B229" t="n">
        <v>0</v>
      </c>
      <c r="C229" t="n">
        <v>8.4</v>
      </c>
      <c r="D229" t="n">
        <v>23.4</v>
      </c>
      <c r="E229" t="n">
        <v>41</v>
      </c>
      <c r="F229" t="inlineStr">
        <is>
          <t>Normal</t>
        </is>
      </c>
    </row>
    <row r="230">
      <c r="A230" t="inlineStr">
        <is>
          <t>2026-05-15</t>
        </is>
      </c>
      <c r="B230" t="n">
        <v>0</v>
      </c>
      <c r="C230" t="n">
        <v>9.1</v>
      </c>
      <c r="D230" t="n">
        <v>21.9</v>
      </c>
      <c r="E230" t="n">
        <v>38</v>
      </c>
      <c r="F230" t="inlineStr">
        <is>
          <t>Normal</t>
        </is>
      </c>
    </row>
    <row r="231">
      <c r="A231" t="inlineStr">
        <is>
          <t>2026-05-16</t>
        </is>
      </c>
      <c r="B231" t="n">
        <v>0</v>
      </c>
      <c r="C231" t="n">
        <v>7.9</v>
      </c>
      <c r="D231" t="n">
        <v>22.5</v>
      </c>
      <c r="E231" t="n">
        <v>39</v>
      </c>
      <c r="F231" t="inlineStr">
        <is>
          <t>Normal</t>
        </is>
      </c>
    </row>
    <row r="232">
      <c r="A232" t="inlineStr">
        <is>
          <t>2026-05-17</t>
        </is>
      </c>
      <c r="B232" t="n">
        <v>0</v>
      </c>
      <c r="C232" t="n">
        <v>8.199999999999999</v>
      </c>
      <c r="D232" t="n">
        <v>23.3</v>
      </c>
      <c r="E232" t="n">
        <v>48</v>
      </c>
      <c r="F232" t="inlineStr">
        <is>
          <t>Normal</t>
        </is>
      </c>
    </row>
    <row r="233">
      <c r="A233" t="inlineStr">
        <is>
          <t>2026-05-18</t>
        </is>
      </c>
      <c r="B233" t="n">
        <v>0</v>
      </c>
      <c r="C233" t="n">
        <v>9.5</v>
      </c>
      <c r="D233" t="n">
        <v>22.1</v>
      </c>
      <c r="E233" t="n">
        <v>44</v>
      </c>
      <c r="F233" t="inlineStr">
        <is>
          <t>Normal</t>
        </is>
      </c>
    </row>
    <row r="234">
      <c r="A234" t="inlineStr">
        <is>
          <t>2026-05-19</t>
        </is>
      </c>
      <c r="B234" t="n">
        <v>0</v>
      </c>
      <c r="C234" t="n">
        <v>8.199999999999999</v>
      </c>
      <c r="D234" t="n">
        <v>22</v>
      </c>
      <c r="E234" t="n">
        <v>44</v>
      </c>
      <c r="F234" t="inlineStr">
        <is>
          <t>Normal</t>
        </is>
      </c>
    </row>
    <row r="235">
      <c r="A235" t="inlineStr">
        <is>
          <t>2026-05-20</t>
        </is>
      </c>
      <c r="B235" t="n">
        <v>0</v>
      </c>
      <c r="C235" t="n">
        <v>6.6</v>
      </c>
      <c r="D235" t="n">
        <v>24.1</v>
      </c>
      <c r="E235" t="n">
        <v>43</v>
      </c>
      <c r="F235" t="inlineStr">
        <is>
          <t>Normal</t>
        </is>
      </c>
    </row>
    <row r="236">
      <c r="A236" t="inlineStr">
        <is>
          <t>2026-05-21</t>
        </is>
      </c>
      <c r="B236" t="n">
        <v>0</v>
      </c>
      <c r="C236" t="n">
        <v>9.300000000000001</v>
      </c>
      <c r="D236" t="n">
        <v>23</v>
      </c>
      <c r="E236" t="n">
        <v>39</v>
      </c>
      <c r="F236" t="inlineStr">
        <is>
          <t>Normal</t>
        </is>
      </c>
    </row>
    <row r="237">
      <c r="A237" t="inlineStr">
        <is>
          <t>2026-05-22</t>
        </is>
      </c>
      <c r="B237" t="n">
        <v>0</v>
      </c>
      <c r="C237" t="n">
        <v>8.300000000000001</v>
      </c>
      <c r="D237" t="n">
        <v>24.4</v>
      </c>
      <c r="E237" t="n">
        <v>40</v>
      </c>
      <c r="F237" t="inlineStr">
        <is>
          <t>Normal</t>
        </is>
      </c>
    </row>
    <row r="238">
      <c r="A238" t="inlineStr">
        <is>
          <t>2026-05-23</t>
        </is>
      </c>
      <c r="B238" t="n">
        <v>0</v>
      </c>
      <c r="C238" t="n">
        <v>8.4</v>
      </c>
      <c r="D238" t="n">
        <v>23.6</v>
      </c>
      <c r="E238" t="n">
        <v>44</v>
      </c>
      <c r="F238" t="inlineStr">
        <is>
          <t>Normal</t>
        </is>
      </c>
    </row>
    <row r="239">
      <c r="A239" t="inlineStr">
        <is>
          <t>2026-05-24</t>
        </is>
      </c>
      <c r="B239" t="n">
        <v>0</v>
      </c>
      <c r="C239" t="n">
        <v>8.5</v>
      </c>
      <c r="D239" t="n">
        <v>24</v>
      </c>
      <c r="E239" t="n">
        <v>46</v>
      </c>
      <c r="F239" t="inlineStr">
        <is>
          <t>Normal</t>
        </is>
      </c>
    </row>
    <row r="240">
      <c r="A240" t="inlineStr">
        <is>
          <t>2026-05-25</t>
        </is>
      </c>
      <c r="B240" t="n">
        <v>0</v>
      </c>
      <c r="C240" t="n">
        <v>9.300000000000001</v>
      </c>
      <c r="D240" t="n">
        <v>23.6</v>
      </c>
      <c r="E240" t="n">
        <v>44</v>
      </c>
      <c r="F240" t="inlineStr">
        <is>
          <t>Normal</t>
        </is>
      </c>
    </row>
    <row r="241">
      <c r="A241" t="inlineStr">
        <is>
          <t>2026-05-26</t>
        </is>
      </c>
      <c r="B241" t="n">
        <v>0</v>
      </c>
      <c r="C241" t="n">
        <v>7.8</v>
      </c>
      <c r="D241" t="n">
        <v>22.1</v>
      </c>
      <c r="E241" t="n">
        <v>43</v>
      </c>
      <c r="F241" t="inlineStr">
        <is>
          <t>Normal</t>
        </is>
      </c>
    </row>
    <row r="242">
      <c r="A242" t="inlineStr">
        <is>
          <t>2026-05-27</t>
        </is>
      </c>
      <c r="B242" t="n">
        <v>0</v>
      </c>
      <c r="C242" t="n">
        <v>6.7</v>
      </c>
      <c r="D242" t="n">
        <v>24.1</v>
      </c>
      <c r="E242" t="n">
        <v>39</v>
      </c>
      <c r="F242" t="inlineStr">
        <is>
          <t>Normal</t>
        </is>
      </c>
    </row>
    <row r="243">
      <c r="A243" t="inlineStr">
        <is>
          <t>2026-05-28</t>
        </is>
      </c>
      <c r="B243" t="n">
        <v>0</v>
      </c>
      <c r="C243" t="n">
        <v>7</v>
      </c>
      <c r="D243" t="n">
        <v>24.1</v>
      </c>
      <c r="E243" t="n">
        <v>37</v>
      </c>
      <c r="F243" t="inlineStr">
        <is>
          <t>Normal</t>
        </is>
      </c>
    </row>
    <row r="244">
      <c r="A244" t="inlineStr">
        <is>
          <t>2026-05-29</t>
        </is>
      </c>
      <c r="B244" t="n">
        <v>0</v>
      </c>
      <c r="C244" t="n">
        <v>9.5</v>
      </c>
      <c r="D244" t="n">
        <v>23.2</v>
      </c>
      <c r="E244" t="n">
        <v>42</v>
      </c>
      <c r="F244" t="inlineStr">
        <is>
          <t>Normal</t>
        </is>
      </c>
    </row>
    <row r="245">
      <c r="A245" t="inlineStr">
        <is>
          <t>2026-05-30</t>
        </is>
      </c>
      <c r="B245" t="n">
        <v>0</v>
      </c>
      <c r="C245" t="n">
        <v>9.1</v>
      </c>
      <c r="D245" t="n">
        <v>24.9</v>
      </c>
      <c r="E245" t="n">
        <v>39</v>
      </c>
      <c r="F245" t="inlineStr">
        <is>
          <t>Normal</t>
        </is>
      </c>
    </row>
    <row r="246">
      <c r="A246" t="inlineStr">
        <is>
          <t>2026-05-31</t>
        </is>
      </c>
      <c r="B246" t="n">
        <v>0</v>
      </c>
      <c r="C246" t="n">
        <v>7.9</v>
      </c>
      <c r="D246" t="n">
        <v>24.5</v>
      </c>
      <c r="E246" t="n">
        <v>46</v>
      </c>
      <c r="F246" t="inlineStr">
        <is>
          <t>Normal</t>
        </is>
      </c>
    </row>
    <row r="247">
      <c r="A247" t="inlineStr">
        <is>
          <t>2026-06-01</t>
        </is>
      </c>
      <c r="B247" t="n">
        <v>0</v>
      </c>
      <c r="C247" t="n">
        <v>7.5</v>
      </c>
      <c r="D247" t="n">
        <v>24.1</v>
      </c>
      <c r="E247" t="n">
        <v>37</v>
      </c>
      <c r="F247" t="inlineStr">
        <is>
          <t>Normal</t>
        </is>
      </c>
    </row>
    <row r="248">
      <c r="A248" t="inlineStr">
        <is>
          <t>2026-06-02</t>
        </is>
      </c>
      <c r="B248" t="n">
        <v>0</v>
      </c>
      <c r="C248" t="n">
        <v>6.9</v>
      </c>
      <c r="D248" t="n">
        <v>25.1</v>
      </c>
      <c r="E248" t="n">
        <v>48</v>
      </c>
      <c r="F248" t="inlineStr">
        <is>
          <t>Normal</t>
        </is>
      </c>
    </row>
    <row r="249">
      <c r="A249" t="inlineStr">
        <is>
          <t>2026-06-03</t>
        </is>
      </c>
      <c r="B249" t="n">
        <v>0</v>
      </c>
      <c r="C249" t="n">
        <v>9.4</v>
      </c>
      <c r="D249" t="n">
        <v>22.2</v>
      </c>
      <c r="E249" t="n">
        <v>49</v>
      </c>
      <c r="F249" t="inlineStr">
        <is>
          <t>Power cut</t>
        </is>
      </c>
    </row>
    <row r="250">
      <c r="A250" t="inlineStr">
        <is>
          <t>2026-06-04</t>
        </is>
      </c>
      <c r="B250" t="n">
        <v>0</v>
      </c>
      <c r="C250" t="n">
        <v>9</v>
      </c>
      <c r="D250" t="n">
        <v>25.1</v>
      </c>
      <c r="E250" t="n">
        <v>40</v>
      </c>
      <c r="F250" t="inlineStr">
        <is>
          <t>Normal</t>
        </is>
      </c>
    </row>
    <row r="251">
      <c r="A251" t="inlineStr">
        <is>
          <t>2026-06-05</t>
        </is>
      </c>
      <c r="B251" t="n">
        <v>0</v>
      </c>
      <c r="C251" t="n">
        <v>6.4</v>
      </c>
      <c r="D251" t="n">
        <v>24.3</v>
      </c>
      <c r="E251" t="n">
        <v>42</v>
      </c>
      <c r="F251" t="inlineStr">
        <is>
          <t>Normal</t>
        </is>
      </c>
    </row>
    <row r="252">
      <c r="A252" t="inlineStr">
        <is>
          <t>2026-06-06</t>
        </is>
      </c>
      <c r="B252" t="n">
        <v>0</v>
      </c>
      <c r="C252" t="n">
        <v>8.6</v>
      </c>
      <c r="D252" t="n">
        <v>22.8</v>
      </c>
      <c r="E252" t="n">
        <v>44</v>
      </c>
      <c r="F252" t="inlineStr">
        <is>
          <t>Normal</t>
        </is>
      </c>
    </row>
    <row r="253">
      <c r="A253" t="inlineStr">
        <is>
          <t>2026-06-07</t>
        </is>
      </c>
      <c r="B253" t="n">
        <v>0</v>
      </c>
      <c r="C253" t="n">
        <v>9</v>
      </c>
      <c r="D253" t="n">
        <v>23.4</v>
      </c>
      <c r="E253" t="n">
        <v>48</v>
      </c>
      <c r="F253" t="inlineStr">
        <is>
          <t>Normal</t>
        </is>
      </c>
    </row>
    <row r="254">
      <c r="A254" t="inlineStr">
        <is>
          <t>2026-06-08</t>
        </is>
      </c>
      <c r="B254" t="n">
        <v>0</v>
      </c>
      <c r="C254" t="n">
        <v>7.1</v>
      </c>
      <c r="D254" t="n">
        <v>21.2</v>
      </c>
      <c r="E254" t="n">
        <v>36</v>
      </c>
      <c r="F254" t="inlineStr">
        <is>
          <t>Normal</t>
        </is>
      </c>
    </row>
    <row r="255">
      <c r="A255" t="inlineStr">
        <is>
          <t>2026-06-09</t>
        </is>
      </c>
      <c r="B255" t="n">
        <v>0</v>
      </c>
      <c r="C255" t="n">
        <v>8.199999999999999</v>
      </c>
      <c r="D255" t="n">
        <v>24.8</v>
      </c>
      <c r="E255" t="n">
        <v>47</v>
      </c>
      <c r="F255" t="inlineStr">
        <is>
          <t>Normal</t>
        </is>
      </c>
    </row>
    <row r="256">
      <c r="A256" t="inlineStr">
        <is>
          <t>2026-06-10</t>
        </is>
      </c>
      <c r="B256" t="n">
        <v>0</v>
      </c>
      <c r="C256" t="n">
        <v>6.6</v>
      </c>
      <c r="D256" t="n">
        <v>21.7</v>
      </c>
      <c r="E256" t="n">
        <v>46</v>
      </c>
      <c r="F256" t="inlineStr">
        <is>
          <t>Normal</t>
        </is>
      </c>
    </row>
    <row r="257">
      <c r="A257" t="inlineStr">
        <is>
          <t>2026-06-11</t>
        </is>
      </c>
      <c r="B257" t="n">
        <v>0</v>
      </c>
      <c r="C257" t="n">
        <v>7.4</v>
      </c>
      <c r="D257" t="n">
        <v>24.9</v>
      </c>
      <c r="E257" t="n">
        <v>41</v>
      </c>
      <c r="F257" t="inlineStr">
        <is>
          <t>Normal</t>
        </is>
      </c>
    </row>
    <row r="258">
      <c r="A258" t="inlineStr">
        <is>
          <t>2026-06-12</t>
        </is>
      </c>
      <c r="B258" t="n">
        <v>0</v>
      </c>
      <c r="C258" t="n">
        <v>9.4</v>
      </c>
      <c r="D258" t="n">
        <v>21.3</v>
      </c>
      <c r="E258" t="n">
        <v>40</v>
      </c>
      <c r="F258" t="inlineStr">
        <is>
          <t>Normal</t>
        </is>
      </c>
    </row>
    <row r="259">
      <c r="A259" t="inlineStr">
        <is>
          <t>2026-06-13</t>
        </is>
      </c>
      <c r="B259" t="n">
        <v>0</v>
      </c>
      <c r="C259" t="n">
        <v>6.7</v>
      </c>
      <c r="D259" t="n">
        <v>23</v>
      </c>
      <c r="E259" t="n">
        <v>47</v>
      </c>
      <c r="F259" t="inlineStr">
        <is>
          <t>Normal</t>
        </is>
      </c>
    </row>
    <row r="260">
      <c r="A260" t="inlineStr">
        <is>
          <t>2026-06-14</t>
        </is>
      </c>
      <c r="B260" t="n">
        <v>0</v>
      </c>
      <c r="C260" t="n">
        <v>7.9</v>
      </c>
      <c r="D260" t="n">
        <v>21.3</v>
      </c>
      <c r="E260" t="n">
        <v>44</v>
      </c>
      <c r="F260" t="inlineStr">
        <is>
          <t>Normal</t>
        </is>
      </c>
    </row>
    <row r="261">
      <c r="A261" t="inlineStr">
        <is>
          <t>2026-06-15</t>
        </is>
      </c>
      <c r="B261" t="n">
        <v>0</v>
      </c>
      <c r="C261" t="n">
        <v>9.4</v>
      </c>
      <c r="D261" t="n">
        <v>24.1</v>
      </c>
      <c r="E261" t="n">
        <v>41</v>
      </c>
      <c r="F261" t="inlineStr">
        <is>
          <t>Normal</t>
        </is>
      </c>
    </row>
    <row r="262">
      <c r="A262" t="inlineStr">
        <is>
          <t>2026-06-16</t>
        </is>
      </c>
      <c r="B262" t="n">
        <v>0</v>
      </c>
      <c r="C262" t="n">
        <v>6.9</v>
      </c>
      <c r="D262" t="n">
        <v>24.1</v>
      </c>
      <c r="E262" t="n">
        <v>41</v>
      </c>
      <c r="F262" t="inlineStr">
        <is>
          <t>Normal</t>
        </is>
      </c>
    </row>
    <row r="263">
      <c r="A263" t="inlineStr">
        <is>
          <t>2026-06-17</t>
        </is>
      </c>
      <c r="B263" t="n">
        <v>0</v>
      </c>
      <c r="C263" t="n">
        <v>8</v>
      </c>
      <c r="D263" t="n">
        <v>21.2</v>
      </c>
      <c r="E263" t="n">
        <v>41</v>
      </c>
      <c r="F263" t="inlineStr">
        <is>
          <t>Normal</t>
        </is>
      </c>
    </row>
    <row r="264">
      <c r="A264" t="inlineStr">
        <is>
          <t>2026-06-18</t>
        </is>
      </c>
      <c r="B264" t="n">
        <v>0</v>
      </c>
      <c r="C264" t="n">
        <v>0.5</v>
      </c>
      <c r="D264" t="n">
        <v>19</v>
      </c>
      <c r="E264" t="n">
        <v>34</v>
      </c>
      <c r="F264" t="inlineStr">
        <is>
          <t>Frost</t>
        </is>
      </c>
    </row>
    <row r="265">
      <c r="A265" t="inlineStr">
        <is>
          <t>2026-06-19</t>
        </is>
      </c>
      <c r="B265" t="n">
        <v>0</v>
      </c>
      <c r="C265" t="n">
        <v>9.4</v>
      </c>
      <c r="D265" t="n">
        <v>22.7</v>
      </c>
      <c r="E265" t="n">
        <v>46</v>
      </c>
      <c r="F265" t="inlineStr">
        <is>
          <t>Normal</t>
        </is>
      </c>
    </row>
    <row r="266">
      <c r="A266" t="inlineStr">
        <is>
          <t>2026-06-20</t>
        </is>
      </c>
      <c r="B266" t="n">
        <v>0</v>
      </c>
      <c r="C266" t="n">
        <v>8.6</v>
      </c>
      <c r="D266" t="n">
        <v>21.2</v>
      </c>
      <c r="E266" t="n">
        <v>43</v>
      </c>
      <c r="F266" t="inlineStr">
        <is>
          <t>Normal</t>
        </is>
      </c>
    </row>
    <row r="267">
      <c r="A267" t="inlineStr">
        <is>
          <t>2026-06-21</t>
        </is>
      </c>
      <c r="B267" t="n">
        <v>0</v>
      </c>
      <c r="C267" t="n">
        <v>7.5</v>
      </c>
      <c r="D267" t="n">
        <v>25.2</v>
      </c>
      <c r="E267" t="n">
        <v>41</v>
      </c>
      <c r="F267" t="inlineStr">
        <is>
          <t>Normal</t>
        </is>
      </c>
    </row>
    <row r="268">
      <c r="A268" t="inlineStr">
        <is>
          <t>2026-06-22</t>
        </is>
      </c>
      <c r="B268" t="n">
        <v>0</v>
      </c>
      <c r="C268" t="n">
        <v>6.8</v>
      </c>
      <c r="D268" t="n">
        <v>21.6</v>
      </c>
      <c r="E268" t="n">
        <v>46</v>
      </c>
      <c r="F268" t="inlineStr">
        <is>
          <t>Normal</t>
        </is>
      </c>
    </row>
    <row r="269">
      <c r="A269" t="inlineStr">
        <is>
          <t>2026-06-23</t>
        </is>
      </c>
      <c r="B269" t="n">
        <v>0</v>
      </c>
      <c r="C269" t="n">
        <v>8.5</v>
      </c>
      <c r="D269" t="n">
        <v>22.8</v>
      </c>
      <c r="E269" t="n">
        <v>44</v>
      </c>
      <c r="F269" t="inlineStr">
        <is>
          <t>Normal</t>
        </is>
      </c>
    </row>
    <row r="270">
      <c r="A270" t="inlineStr">
        <is>
          <t>2026-06-24</t>
        </is>
      </c>
      <c r="B270" t="n">
        <v>0</v>
      </c>
      <c r="C270" t="n">
        <v>6.5</v>
      </c>
      <c r="D270" t="n">
        <v>23.4</v>
      </c>
      <c r="E270" t="n">
        <v>46</v>
      </c>
      <c r="F270" t="inlineStr">
        <is>
          <t>Normal</t>
        </is>
      </c>
    </row>
    <row r="271">
      <c r="A271" t="inlineStr">
        <is>
          <t>2026-06-25</t>
        </is>
      </c>
      <c r="B271" t="n">
        <v>0</v>
      </c>
      <c r="C271" t="n">
        <v>6.8</v>
      </c>
      <c r="D271" t="n">
        <v>21.8</v>
      </c>
      <c r="E271" t="n">
        <v>43</v>
      </c>
      <c r="F271" t="inlineStr">
        <is>
          <t>Normal</t>
        </is>
      </c>
    </row>
    <row r="272">
      <c r="A272" t="inlineStr">
        <is>
          <t>2026-06-26</t>
        </is>
      </c>
      <c r="B272" t="n">
        <v>0</v>
      </c>
      <c r="C272" t="n">
        <v>8.800000000000001</v>
      </c>
      <c r="D272" t="n">
        <v>21</v>
      </c>
      <c r="E272" t="n">
        <v>38</v>
      </c>
      <c r="F272" t="inlineStr">
        <is>
          <t>Normal</t>
        </is>
      </c>
    </row>
    <row r="273">
      <c r="A273" t="inlineStr">
        <is>
          <t>2026-06-27</t>
        </is>
      </c>
      <c r="B273" t="n">
        <v>0</v>
      </c>
      <c r="C273" t="n">
        <v>9.199999999999999</v>
      </c>
      <c r="D273" t="n">
        <v>21.7</v>
      </c>
      <c r="E273" t="n">
        <v>40</v>
      </c>
      <c r="F273" t="inlineStr">
        <is>
          <t>Normal</t>
        </is>
      </c>
    </row>
    <row r="274">
      <c r="A274" t="inlineStr">
        <is>
          <t>2026-06-28</t>
        </is>
      </c>
      <c r="B274" t="n">
        <v>0</v>
      </c>
      <c r="C274" t="n">
        <v>9.300000000000001</v>
      </c>
      <c r="D274" t="n">
        <v>21.4</v>
      </c>
      <c r="E274" t="n">
        <v>36</v>
      </c>
      <c r="F274" t="inlineStr">
        <is>
          <t>Normal</t>
        </is>
      </c>
    </row>
    <row r="275">
      <c r="A275" t="inlineStr">
        <is>
          <t>2026-06-29</t>
        </is>
      </c>
      <c r="B275" t="n">
        <v>0</v>
      </c>
      <c r="C275" t="n">
        <v>6.9</v>
      </c>
      <c r="D275" t="n">
        <v>24.6</v>
      </c>
      <c r="E275" t="n">
        <v>37</v>
      </c>
      <c r="F275" t="inlineStr">
        <is>
          <t>Normal</t>
        </is>
      </c>
    </row>
    <row r="276">
      <c r="A276" t="inlineStr">
        <is>
          <t>2026-06-30</t>
        </is>
      </c>
      <c r="B276" t="n">
        <v>0</v>
      </c>
      <c r="C276" t="n">
        <v>7</v>
      </c>
      <c r="D276" t="n">
        <v>21.9</v>
      </c>
      <c r="E276" t="n">
        <v>44</v>
      </c>
      <c r="F276" t="inlineStr">
        <is>
          <t>Normal</t>
        </is>
      </c>
    </row>
    <row r="277">
      <c r="A277" t="inlineStr">
        <is>
          <t>2026-07-01</t>
        </is>
      </c>
      <c r="B277" t="n">
        <v>0</v>
      </c>
      <c r="C277" t="n">
        <v>6.4</v>
      </c>
      <c r="D277" t="n">
        <v>20.8</v>
      </c>
      <c r="E277" t="n">
        <v>46</v>
      </c>
      <c r="F277" t="inlineStr">
        <is>
          <t>Normal</t>
        </is>
      </c>
    </row>
    <row r="278">
      <c r="A278" t="inlineStr">
        <is>
          <t>2026-07-02</t>
        </is>
      </c>
      <c r="B278" t="n">
        <v>0</v>
      </c>
      <c r="C278" t="n">
        <v>7.4</v>
      </c>
      <c r="D278" t="n">
        <v>21.8</v>
      </c>
      <c r="E278" t="n">
        <v>38</v>
      </c>
      <c r="F278" t="inlineStr">
        <is>
          <t>Normal</t>
        </is>
      </c>
    </row>
    <row r="279">
      <c r="A279" t="inlineStr">
        <is>
          <t>2026-07-03</t>
        </is>
      </c>
      <c r="B279" t="n">
        <v>0</v>
      </c>
      <c r="C279" t="n">
        <v>8.800000000000001</v>
      </c>
      <c r="D279" t="n">
        <v>20.9</v>
      </c>
      <c r="E279" t="n">
        <v>42</v>
      </c>
      <c r="F279" t="inlineStr">
        <is>
          <t>Normal</t>
        </is>
      </c>
    </row>
    <row r="280">
      <c r="A280" t="inlineStr">
        <is>
          <t>2026-07-04</t>
        </is>
      </c>
      <c r="B280" t="n">
        <v>0</v>
      </c>
      <c r="C280" t="n">
        <v>7.9</v>
      </c>
      <c r="D280" t="n">
        <v>24.1</v>
      </c>
      <c r="E280" t="n">
        <v>46</v>
      </c>
      <c r="F280" t="inlineStr">
        <is>
          <t>Normal</t>
        </is>
      </c>
    </row>
    <row r="281">
      <c r="A281" t="inlineStr">
        <is>
          <t>2026-07-05</t>
        </is>
      </c>
      <c r="B281" t="n">
        <v>0</v>
      </c>
      <c r="C281" t="n">
        <v>6.7</v>
      </c>
      <c r="D281" t="n">
        <v>23.1</v>
      </c>
      <c r="E281" t="n">
        <v>42</v>
      </c>
      <c r="F281" t="inlineStr">
        <is>
          <t>Normal</t>
        </is>
      </c>
    </row>
    <row r="282">
      <c r="A282" t="inlineStr">
        <is>
          <t>2026-07-06</t>
        </is>
      </c>
      <c r="B282" t="n">
        <v>0</v>
      </c>
      <c r="C282" t="n">
        <v>6.5</v>
      </c>
      <c r="D282" t="n">
        <v>25</v>
      </c>
      <c r="E282" t="n">
        <v>46</v>
      </c>
      <c r="F282" t="inlineStr">
        <is>
          <t>Normal</t>
        </is>
      </c>
    </row>
    <row r="283">
      <c r="A283" t="inlineStr">
        <is>
          <t>2026-07-07</t>
        </is>
      </c>
      <c r="B283" t="n">
        <v>0</v>
      </c>
      <c r="C283" t="n">
        <v>8.1</v>
      </c>
      <c r="D283" t="n">
        <v>24.7</v>
      </c>
      <c r="E283" t="n">
        <v>41</v>
      </c>
      <c r="F283" t="inlineStr">
        <is>
          <t>Normal</t>
        </is>
      </c>
    </row>
    <row r="284">
      <c r="A284" t="inlineStr">
        <is>
          <t>2026-07-08</t>
        </is>
      </c>
      <c r="B284" t="n">
        <v>0</v>
      </c>
      <c r="C284" t="n">
        <v>6.6</v>
      </c>
      <c r="D284" t="n">
        <v>25.1</v>
      </c>
      <c r="E284" t="n">
        <v>42</v>
      </c>
      <c r="F284" t="inlineStr">
        <is>
          <t>Normal</t>
        </is>
      </c>
    </row>
    <row r="285">
      <c r="A285" t="inlineStr">
        <is>
          <t>2026-07-09</t>
        </is>
      </c>
      <c r="B285" t="n">
        <v>0</v>
      </c>
      <c r="C285" t="n">
        <v>8.6</v>
      </c>
      <c r="D285" t="n">
        <v>22.5</v>
      </c>
      <c r="E285" t="n">
        <v>42</v>
      </c>
      <c r="F285" t="inlineStr">
        <is>
          <t>Normal</t>
        </is>
      </c>
    </row>
    <row r="286">
      <c r="A286" t="inlineStr">
        <is>
          <t>2026-07-10</t>
        </is>
      </c>
      <c r="B286" t="n">
        <v>0</v>
      </c>
      <c r="C286" t="n">
        <v>6.6</v>
      </c>
      <c r="D286" t="n">
        <v>24.9</v>
      </c>
      <c r="E286" t="n">
        <v>37</v>
      </c>
      <c r="F286" t="inlineStr">
        <is>
          <t>Normal</t>
        </is>
      </c>
    </row>
    <row r="287">
      <c r="A287" t="inlineStr">
        <is>
          <t>2026-07-11</t>
        </is>
      </c>
      <c r="B287" t="n">
        <v>0</v>
      </c>
      <c r="C287" t="n">
        <v>6.6</v>
      </c>
      <c r="D287" t="n">
        <v>23.5</v>
      </c>
      <c r="E287" t="n">
        <v>39</v>
      </c>
      <c r="F287" t="inlineStr">
        <is>
          <t>Normal</t>
        </is>
      </c>
    </row>
    <row r="288">
      <c r="A288" t="inlineStr">
        <is>
          <t>2026-07-12</t>
        </is>
      </c>
      <c r="B288" t="n">
        <v>0</v>
      </c>
      <c r="C288" t="n">
        <v>8.199999999999999</v>
      </c>
      <c r="D288" t="n">
        <v>23.6</v>
      </c>
      <c r="E288" t="n">
        <v>40</v>
      </c>
      <c r="F288" t="inlineStr">
        <is>
          <t>Normal</t>
        </is>
      </c>
    </row>
    <row r="289">
      <c r="A289" t="inlineStr">
        <is>
          <t>2026-07-13</t>
        </is>
      </c>
      <c r="B289" t="n">
        <v>0</v>
      </c>
      <c r="C289" t="n">
        <v>8.1</v>
      </c>
      <c r="D289" t="n">
        <v>25.3</v>
      </c>
      <c r="E289" t="n">
        <v>41</v>
      </c>
      <c r="F289" t="inlineStr">
        <is>
          <t>Normal</t>
        </is>
      </c>
    </row>
    <row r="290">
      <c r="A290" t="inlineStr">
        <is>
          <t>2026-07-14</t>
        </is>
      </c>
      <c r="B290" t="n">
        <v>0</v>
      </c>
      <c r="C290" t="n">
        <v>6.7</v>
      </c>
      <c r="D290" t="n">
        <v>23.5</v>
      </c>
      <c r="E290" t="n">
        <v>45</v>
      </c>
      <c r="F290" t="inlineStr">
        <is>
          <t>Normal</t>
        </is>
      </c>
    </row>
    <row r="291">
      <c r="A291" t="inlineStr">
        <is>
          <t>2026-07-15</t>
        </is>
      </c>
      <c r="B291" t="n">
        <v>0</v>
      </c>
      <c r="C291" t="n">
        <v>8.5</v>
      </c>
      <c r="D291" t="n">
        <v>24.6</v>
      </c>
      <c r="E291" t="n">
        <v>45</v>
      </c>
      <c r="F291" t="inlineStr">
        <is>
          <t>Normal</t>
        </is>
      </c>
    </row>
    <row r="292">
      <c r="A292" t="inlineStr">
        <is>
          <t>2026-07-16</t>
        </is>
      </c>
      <c r="B292" t="n">
        <v>0</v>
      </c>
      <c r="C292" t="n">
        <v>7.1</v>
      </c>
      <c r="D292" t="n">
        <v>24</v>
      </c>
      <c r="E292" t="n">
        <v>41</v>
      </c>
      <c r="F292" t="inlineStr">
        <is>
          <t>Normal</t>
        </is>
      </c>
    </row>
    <row r="293">
      <c r="A293" t="inlineStr">
        <is>
          <t>2026-07-17</t>
        </is>
      </c>
      <c r="B293" t="n">
        <v>0</v>
      </c>
      <c r="C293" t="n">
        <v>7.5</v>
      </c>
      <c r="D293" t="n">
        <v>21.8</v>
      </c>
      <c r="E293" t="n">
        <v>41</v>
      </c>
      <c r="F293" t="inlineStr">
        <is>
          <t>Normal</t>
        </is>
      </c>
    </row>
    <row r="294">
      <c r="A294" t="inlineStr">
        <is>
          <t>2026-07-18</t>
        </is>
      </c>
      <c r="B294" t="n">
        <v>0</v>
      </c>
      <c r="C294" t="n">
        <v>6.7</v>
      </c>
      <c r="D294" t="n">
        <v>22.6</v>
      </c>
      <c r="E294" t="n">
        <v>41</v>
      </c>
      <c r="F294" t="inlineStr">
        <is>
          <t>Normal</t>
        </is>
      </c>
    </row>
    <row r="295">
      <c r="A295" t="inlineStr">
        <is>
          <t>2026-07-19</t>
        </is>
      </c>
      <c r="B295" t="n">
        <v>0</v>
      </c>
      <c r="C295" t="n">
        <v>7.6</v>
      </c>
      <c r="D295" t="n">
        <v>23.8</v>
      </c>
      <c r="E295" t="n">
        <v>38</v>
      </c>
      <c r="F295" t="inlineStr">
        <is>
          <t>Normal</t>
        </is>
      </c>
    </row>
    <row r="296">
      <c r="A296" t="inlineStr">
        <is>
          <t>2026-07-20</t>
        </is>
      </c>
      <c r="B296" t="n">
        <v>0</v>
      </c>
      <c r="C296" t="n">
        <v>6.6</v>
      </c>
      <c r="D296" t="n">
        <v>24.9</v>
      </c>
      <c r="E296" t="n">
        <v>46</v>
      </c>
      <c r="F296" t="inlineStr">
        <is>
          <t>Normal</t>
        </is>
      </c>
    </row>
    <row r="297">
      <c r="A297" t="inlineStr">
        <is>
          <t>2026-07-21</t>
        </is>
      </c>
      <c r="B297" t="n">
        <v>0</v>
      </c>
      <c r="C297" t="n">
        <v>6.7</v>
      </c>
      <c r="D297" t="n">
        <v>21.1</v>
      </c>
      <c r="E297" t="n">
        <v>45</v>
      </c>
      <c r="F297" t="inlineStr">
        <is>
          <t>Normal</t>
        </is>
      </c>
    </row>
    <row r="298">
      <c r="A298" t="inlineStr">
        <is>
          <t>2026-07-22</t>
        </is>
      </c>
      <c r="B298" t="n">
        <v>0</v>
      </c>
      <c r="C298" t="n">
        <v>8.199999999999999</v>
      </c>
      <c r="D298" t="n">
        <v>24.4</v>
      </c>
      <c r="E298" t="n">
        <v>43</v>
      </c>
      <c r="F298" t="inlineStr">
        <is>
          <t>Normal</t>
        </is>
      </c>
    </row>
    <row r="299">
      <c r="A299" t="inlineStr">
        <is>
          <t>2026-07-23</t>
        </is>
      </c>
      <c r="B299" t="n">
        <v>0</v>
      </c>
      <c r="C299" t="n">
        <v>7.5</v>
      </c>
      <c r="D299" t="n">
        <v>23.3</v>
      </c>
      <c r="E299" t="n">
        <v>37</v>
      </c>
      <c r="F299" t="inlineStr">
        <is>
          <t>Normal</t>
        </is>
      </c>
    </row>
    <row r="300">
      <c r="A300" t="inlineStr">
        <is>
          <t>2026-07-24</t>
        </is>
      </c>
      <c r="B300" t="n">
        <v>0</v>
      </c>
      <c r="C300" t="n">
        <v>8.5</v>
      </c>
      <c r="D300" t="n">
        <v>22.3</v>
      </c>
      <c r="E300" t="n">
        <v>45</v>
      </c>
      <c r="F300" t="inlineStr">
        <is>
          <t>Normal</t>
        </is>
      </c>
    </row>
    <row r="301">
      <c r="A301" t="inlineStr">
        <is>
          <t>2026-07-25</t>
        </is>
      </c>
      <c r="B301" t="n">
        <v>0</v>
      </c>
      <c r="C301" t="n">
        <v>8.699999999999999</v>
      </c>
      <c r="D301" t="n">
        <v>24.7</v>
      </c>
      <c r="E301" t="n">
        <v>48</v>
      </c>
      <c r="F301" t="inlineStr">
        <is>
          <t>Normal</t>
        </is>
      </c>
    </row>
    <row r="302">
      <c r="A302" t="inlineStr">
        <is>
          <t>2026-07-26</t>
        </is>
      </c>
      <c r="B302" t="n">
        <v>0</v>
      </c>
      <c r="C302" t="n">
        <v>7.5</v>
      </c>
      <c r="D302" t="n">
        <v>23.5</v>
      </c>
      <c r="E302" t="n">
        <v>43</v>
      </c>
      <c r="F302" t="inlineStr">
        <is>
          <t>Normal</t>
        </is>
      </c>
    </row>
    <row r="303">
      <c r="A303" t="inlineStr">
        <is>
          <t>2026-07-27</t>
        </is>
      </c>
      <c r="B303" t="n">
        <v>0</v>
      </c>
      <c r="C303" t="n">
        <v>8.5</v>
      </c>
      <c r="D303" t="n">
        <v>21.7</v>
      </c>
      <c r="E303" t="n">
        <v>39</v>
      </c>
      <c r="F303" t="inlineStr">
        <is>
          <t>Normal</t>
        </is>
      </c>
    </row>
    <row r="304">
      <c r="A304" t="inlineStr">
        <is>
          <t>2026-07-28</t>
        </is>
      </c>
      <c r="B304" t="n">
        <v>0</v>
      </c>
      <c r="C304" t="n">
        <v>9.1</v>
      </c>
      <c r="D304" t="n">
        <v>21.2</v>
      </c>
      <c r="E304" t="n">
        <v>40</v>
      </c>
      <c r="F304" t="inlineStr">
        <is>
          <t>Normal</t>
        </is>
      </c>
    </row>
    <row r="305">
      <c r="A305" t="inlineStr">
        <is>
          <t>2026-07-29</t>
        </is>
      </c>
      <c r="B305" t="n">
        <v>0</v>
      </c>
      <c r="C305" t="n">
        <v>8.199999999999999</v>
      </c>
      <c r="D305" t="n">
        <v>24.2</v>
      </c>
      <c r="E305" t="n">
        <v>46</v>
      </c>
      <c r="F305" t="inlineStr">
        <is>
          <t>Normal</t>
        </is>
      </c>
    </row>
    <row r="306">
      <c r="A306" t="inlineStr">
        <is>
          <t>2026-07-30</t>
        </is>
      </c>
      <c r="B306" t="n">
        <v>0</v>
      </c>
      <c r="C306" t="n">
        <v>9.5</v>
      </c>
      <c r="D306" t="n">
        <v>24.6</v>
      </c>
      <c r="E306" t="n">
        <v>46</v>
      </c>
      <c r="F306" t="inlineStr">
        <is>
          <t>Normal</t>
        </is>
      </c>
    </row>
    <row r="307">
      <c r="A307" t="inlineStr">
        <is>
          <t>2026-07-31</t>
        </is>
      </c>
      <c r="B307" t="n">
        <v>0</v>
      </c>
      <c r="C307" t="n">
        <v>8.5</v>
      </c>
      <c r="D307" t="n">
        <v>23.5</v>
      </c>
      <c r="E307" t="n">
        <v>36</v>
      </c>
      <c r="F307" t="inlineStr">
        <is>
          <t>Normal</t>
        </is>
      </c>
    </row>
    <row r="308">
      <c r="A308" t="inlineStr">
        <is>
          <t>2026-08-01</t>
        </is>
      </c>
      <c r="B308" t="n">
        <v>0</v>
      </c>
      <c r="C308" t="n">
        <v>9.1</v>
      </c>
      <c r="D308" t="n">
        <v>25</v>
      </c>
      <c r="E308" t="n">
        <v>39</v>
      </c>
      <c r="F308" t="inlineStr">
        <is>
          <t>Normal</t>
        </is>
      </c>
    </row>
    <row r="309">
      <c r="A309" t="inlineStr">
        <is>
          <t>2026-08-02</t>
        </is>
      </c>
      <c r="B309" t="n">
        <v>0</v>
      </c>
      <c r="C309" t="n">
        <v>8.6</v>
      </c>
      <c r="D309" t="n">
        <v>21.5</v>
      </c>
      <c r="E309" t="n">
        <v>40</v>
      </c>
      <c r="F309" t="inlineStr">
        <is>
          <t>Normal</t>
        </is>
      </c>
    </row>
    <row r="310">
      <c r="A310" t="inlineStr">
        <is>
          <t>2026-08-03</t>
        </is>
      </c>
      <c r="B310" t="n">
        <v>0</v>
      </c>
      <c r="C310" t="n">
        <v>6.4</v>
      </c>
      <c r="D310" t="n">
        <v>22.3</v>
      </c>
      <c r="E310" t="n">
        <v>47</v>
      </c>
      <c r="F310" t="inlineStr">
        <is>
          <t>Normal</t>
        </is>
      </c>
    </row>
    <row r="311">
      <c r="A311" t="inlineStr">
        <is>
          <t>2026-08-04</t>
        </is>
      </c>
      <c r="B311" t="n">
        <v>0</v>
      </c>
      <c r="C311" t="n">
        <v>7.7</v>
      </c>
      <c r="D311" t="n">
        <v>23.3</v>
      </c>
      <c r="E311" t="n">
        <v>37</v>
      </c>
      <c r="F311" t="inlineStr">
        <is>
          <t>Normal</t>
        </is>
      </c>
    </row>
    <row r="312">
      <c r="A312" t="inlineStr">
        <is>
          <t>2026-08-05</t>
        </is>
      </c>
      <c r="B312" t="n">
        <v>0</v>
      </c>
      <c r="C312" t="n">
        <v>6.5</v>
      </c>
      <c r="D312" t="n">
        <v>23.6</v>
      </c>
      <c r="E312" t="n">
        <v>45</v>
      </c>
      <c r="F312" t="inlineStr">
        <is>
          <t>Normal</t>
        </is>
      </c>
    </row>
    <row r="313">
      <c r="A313" t="inlineStr">
        <is>
          <t>2026-08-06</t>
        </is>
      </c>
      <c r="B313" t="n">
        <v>0</v>
      </c>
      <c r="C313" t="n">
        <v>7.7</v>
      </c>
      <c r="D313" t="n">
        <v>21.7</v>
      </c>
      <c r="E313" t="n">
        <v>40</v>
      </c>
      <c r="F313" t="inlineStr">
        <is>
          <t>Normal</t>
        </is>
      </c>
    </row>
    <row r="314">
      <c r="A314" t="inlineStr">
        <is>
          <t>2026-08-07</t>
        </is>
      </c>
      <c r="B314" t="n">
        <v>0</v>
      </c>
      <c r="C314" t="n">
        <v>8.699999999999999</v>
      </c>
      <c r="D314" t="n">
        <v>22.4</v>
      </c>
      <c r="E314" t="n">
        <v>45</v>
      </c>
      <c r="F314" t="inlineStr">
        <is>
          <t>Normal</t>
        </is>
      </c>
    </row>
    <row r="315">
      <c r="A315" t="inlineStr">
        <is>
          <t>2026-08-08</t>
        </is>
      </c>
      <c r="B315" t="n">
        <v>0</v>
      </c>
      <c r="C315" t="n">
        <v>6.7</v>
      </c>
      <c r="D315" t="n">
        <v>23.3</v>
      </c>
      <c r="E315" t="n">
        <v>36</v>
      </c>
      <c r="F315" t="inlineStr">
        <is>
          <t>Normal</t>
        </is>
      </c>
    </row>
    <row r="316">
      <c r="A316" t="inlineStr">
        <is>
          <t>2026-08-09</t>
        </is>
      </c>
      <c r="B316" t="n">
        <v>0</v>
      </c>
      <c r="C316" t="n">
        <v>8.4</v>
      </c>
      <c r="D316" t="n">
        <v>21.4</v>
      </c>
      <c r="E316" t="n">
        <v>44</v>
      </c>
      <c r="F316" t="inlineStr">
        <is>
          <t>Normal</t>
        </is>
      </c>
    </row>
    <row r="317">
      <c r="A317" t="inlineStr">
        <is>
          <t>2026-08-10</t>
        </is>
      </c>
      <c r="B317" t="n">
        <v>0</v>
      </c>
      <c r="C317" t="n">
        <v>8.5</v>
      </c>
      <c r="D317" t="n">
        <v>22</v>
      </c>
      <c r="E317" t="n">
        <v>42</v>
      </c>
      <c r="F317" t="inlineStr">
        <is>
          <t>Normal</t>
        </is>
      </c>
    </row>
    <row r="318">
      <c r="A318" t="inlineStr">
        <is>
          <t>2026-08-11</t>
        </is>
      </c>
      <c r="B318" t="n">
        <v>0</v>
      </c>
      <c r="C318" t="n">
        <v>7.3</v>
      </c>
      <c r="D318" t="n">
        <v>22.7</v>
      </c>
      <c r="E318" t="n">
        <v>45</v>
      </c>
      <c r="F318" t="inlineStr">
        <is>
          <t>Normal</t>
        </is>
      </c>
    </row>
    <row r="319">
      <c r="A319" t="inlineStr">
        <is>
          <t>2026-08-12</t>
        </is>
      </c>
      <c r="B319" t="n">
        <v>0</v>
      </c>
      <c r="C319" t="n">
        <v>7.8</v>
      </c>
      <c r="D319" t="n">
        <v>21.2</v>
      </c>
      <c r="E319" t="n">
        <v>39</v>
      </c>
      <c r="F319" t="inlineStr">
        <is>
          <t>Normal</t>
        </is>
      </c>
    </row>
    <row r="320">
      <c r="A320" t="inlineStr">
        <is>
          <t>2026-08-13</t>
        </is>
      </c>
      <c r="B320" t="n">
        <v>0</v>
      </c>
      <c r="C320" t="n">
        <v>8</v>
      </c>
      <c r="D320" t="n">
        <v>23.8</v>
      </c>
      <c r="E320" t="n">
        <v>44</v>
      </c>
      <c r="F320" t="inlineStr">
        <is>
          <t>Normal</t>
        </is>
      </c>
    </row>
    <row r="321">
      <c r="A321" t="inlineStr">
        <is>
          <t>2026-08-14</t>
        </is>
      </c>
      <c r="B321" t="n">
        <v>0</v>
      </c>
      <c r="C321" t="n">
        <v>7.7</v>
      </c>
      <c r="D321" t="n">
        <v>20.9</v>
      </c>
      <c r="E321" t="n">
        <v>43</v>
      </c>
      <c r="F321" t="inlineStr">
        <is>
          <t>Normal</t>
        </is>
      </c>
    </row>
    <row r="322">
      <c r="A322" t="inlineStr">
        <is>
          <t>2026-08-15</t>
        </is>
      </c>
      <c r="B322" t="n">
        <v>0</v>
      </c>
      <c r="C322" t="n">
        <v>7.4</v>
      </c>
      <c r="D322" t="n">
        <v>20.7</v>
      </c>
      <c r="E322" t="n">
        <v>38</v>
      </c>
      <c r="F322" t="inlineStr">
        <is>
          <t>Normal</t>
        </is>
      </c>
    </row>
    <row r="323">
      <c r="A323" t="inlineStr">
        <is>
          <t>2026-08-16</t>
        </is>
      </c>
      <c r="B323" t="n">
        <v>0</v>
      </c>
      <c r="C323" t="n">
        <v>7.2</v>
      </c>
      <c r="D323" t="n">
        <v>21.3</v>
      </c>
      <c r="E323" t="n">
        <v>40</v>
      </c>
      <c r="F323" t="inlineStr">
        <is>
          <t>Normal</t>
        </is>
      </c>
    </row>
    <row r="324">
      <c r="A324" t="inlineStr">
        <is>
          <t>2026-08-17</t>
        </is>
      </c>
      <c r="B324" t="n">
        <v>0</v>
      </c>
      <c r="C324" t="n">
        <v>8.800000000000001</v>
      </c>
      <c r="D324" t="n">
        <v>20.7</v>
      </c>
      <c r="E324" t="n">
        <v>38</v>
      </c>
      <c r="F324" t="inlineStr">
        <is>
          <t>Normal</t>
        </is>
      </c>
    </row>
    <row r="325">
      <c r="A325" t="inlineStr">
        <is>
          <t>2026-08-18</t>
        </is>
      </c>
      <c r="B325" t="n">
        <v>0</v>
      </c>
      <c r="C325" t="n">
        <v>8.699999999999999</v>
      </c>
      <c r="D325" t="n">
        <v>22.4</v>
      </c>
      <c r="E325" t="n">
        <v>42</v>
      </c>
      <c r="F325" t="inlineStr">
        <is>
          <t>Normal</t>
        </is>
      </c>
    </row>
    <row r="326">
      <c r="A326" t="inlineStr">
        <is>
          <t>2026-08-19</t>
        </is>
      </c>
      <c r="B326" t="n">
        <v>0</v>
      </c>
      <c r="C326" t="n">
        <v>9</v>
      </c>
      <c r="D326" t="n">
        <v>24.5</v>
      </c>
      <c r="E326" t="n">
        <v>37</v>
      </c>
      <c r="F326" t="inlineStr">
        <is>
          <t>Normal</t>
        </is>
      </c>
    </row>
    <row r="327">
      <c r="A327" t="inlineStr">
        <is>
          <t>2026-08-20</t>
        </is>
      </c>
      <c r="B327" t="n">
        <v>0</v>
      </c>
      <c r="C327" t="n">
        <v>6.5</v>
      </c>
      <c r="D327" t="n">
        <v>24.7</v>
      </c>
      <c r="E327" t="n">
        <v>36</v>
      </c>
      <c r="F327" t="inlineStr">
        <is>
          <t>Normal</t>
        </is>
      </c>
    </row>
    <row r="328">
      <c r="A328" t="inlineStr">
        <is>
          <t>2026-08-21</t>
        </is>
      </c>
      <c r="B328" t="n">
        <v>0</v>
      </c>
      <c r="C328" t="n">
        <v>9.199999999999999</v>
      </c>
      <c r="D328" t="n">
        <v>24.9</v>
      </c>
      <c r="E328" t="n">
        <v>43</v>
      </c>
      <c r="F328" t="inlineStr">
        <is>
          <t>Normal</t>
        </is>
      </c>
    </row>
    <row r="329">
      <c r="A329" t="inlineStr">
        <is>
          <t>2026-08-22</t>
        </is>
      </c>
      <c r="B329" t="n">
        <v>0</v>
      </c>
      <c r="C329" t="n">
        <v>8.699999999999999</v>
      </c>
      <c r="D329" t="n">
        <v>23.3</v>
      </c>
      <c r="E329" t="n">
        <v>41</v>
      </c>
      <c r="F329" t="inlineStr">
        <is>
          <t>Normal</t>
        </is>
      </c>
    </row>
    <row r="330">
      <c r="A330" t="inlineStr">
        <is>
          <t>2026-08-23</t>
        </is>
      </c>
      <c r="B330" t="n">
        <v>0</v>
      </c>
      <c r="C330" t="n">
        <v>6.5</v>
      </c>
      <c r="D330" t="n">
        <v>21.2</v>
      </c>
      <c r="E330" t="n">
        <v>40</v>
      </c>
      <c r="F330" t="inlineStr">
        <is>
          <t>Normal</t>
        </is>
      </c>
    </row>
    <row r="331">
      <c r="A331" t="inlineStr">
        <is>
          <t>2026-08-24</t>
        </is>
      </c>
      <c r="B331" t="n">
        <v>0</v>
      </c>
      <c r="C331" t="n">
        <v>8.4</v>
      </c>
      <c r="D331" t="n">
        <v>24.4</v>
      </c>
      <c r="E331" t="n">
        <v>46</v>
      </c>
      <c r="F331" t="inlineStr">
        <is>
          <t>Normal</t>
        </is>
      </c>
    </row>
    <row r="332">
      <c r="A332" t="inlineStr">
        <is>
          <t>2026-08-25</t>
        </is>
      </c>
      <c r="B332" t="n">
        <v>0</v>
      </c>
      <c r="C332" t="n">
        <v>6.7</v>
      </c>
      <c r="D332" t="n">
        <v>24.9</v>
      </c>
      <c r="E332" t="n">
        <v>46</v>
      </c>
      <c r="F332" t="inlineStr">
        <is>
          <t>Normal</t>
        </is>
      </c>
    </row>
    <row r="333">
      <c r="A333" t="inlineStr">
        <is>
          <t>2026-08-26</t>
        </is>
      </c>
      <c r="B333" t="n">
        <v>0</v>
      </c>
      <c r="C333" t="n">
        <v>8.300000000000001</v>
      </c>
      <c r="D333" t="n">
        <v>21.8</v>
      </c>
      <c r="E333" t="n">
        <v>42</v>
      </c>
      <c r="F333" t="inlineStr">
        <is>
          <t>Normal</t>
        </is>
      </c>
    </row>
    <row r="334">
      <c r="A334" t="inlineStr">
        <is>
          <t>2026-08-27</t>
        </is>
      </c>
      <c r="B334" t="n">
        <v>0</v>
      </c>
      <c r="C334" t="n">
        <v>7.4</v>
      </c>
      <c r="D334" t="n">
        <v>22.5</v>
      </c>
      <c r="E334" t="n">
        <v>40</v>
      </c>
      <c r="F334" t="inlineStr">
        <is>
          <t>Normal</t>
        </is>
      </c>
    </row>
    <row r="335">
      <c r="A335" t="inlineStr">
        <is>
          <t>2026-08-28</t>
        </is>
      </c>
      <c r="B335" t="n">
        <v>0</v>
      </c>
      <c r="C335" t="n">
        <v>6.9</v>
      </c>
      <c r="D335" t="n">
        <v>22.2</v>
      </c>
      <c r="E335" t="n">
        <v>42</v>
      </c>
      <c r="F335" t="inlineStr">
        <is>
          <t>Normal</t>
        </is>
      </c>
    </row>
    <row r="336">
      <c r="A336" t="inlineStr">
        <is>
          <t>2026-08-29</t>
        </is>
      </c>
      <c r="B336" t="n">
        <v>0</v>
      </c>
      <c r="C336" t="n">
        <v>8</v>
      </c>
      <c r="D336" t="n">
        <v>21.2</v>
      </c>
      <c r="E336" t="n">
        <v>47</v>
      </c>
      <c r="F336" t="inlineStr">
        <is>
          <t>Normal</t>
        </is>
      </c>
    </row>
    <row r="337">
      <c r="A337" t="inlineStr">
        <is>
          <t>2026-08-30</t>
        </is>
      </c>
      <c r="B337" t="n">
        <v>0</v>
      </c>
      <c r="C337" t="n">
        <v>8.699999999999999</v>
      </c>
      <c r="D337" t="n">
        <v>22.3</v>
      </c>
      <c r="E337" t="n">
        <v>46</v>
      </c>
      <c r="F337" t="inlineStr">
        <is>
          <t>Normal</t>
        </is>
      </c>
    </row>
    <row r="338">
      <c r="A338" t="inlineStr">
        <is>
          <t>2026-08-31</t>
        </is>
      </c>
      <c r="B338" t="n">
        <v>0</v>
      </c>
      <c r="C338" t="n">
        <v>7.2</v>
      </c>
      <c r="D338" t="n">
        <v>24.4</v>
      </c>
      <c r="E338" t="n">
        <v>38</v>
      </c>
      <c r="F338" t="inlineStr">
        <is>
          <t>Normal</t>
        </is>
      </c>
    </row>
    <row r="339">
      <c r="A339" t="inlineStr">
        <is>
          <t>2026-09-01</t>
        </is>
      </c>
      <c r="B339" t="n">
        <v>0</v>
      </c>
      <c r="C339" t="n">
        <v>8.300000000000001</v>
      </c>
      <c r="D339" t="n">
        <v>21.6</v>
      </c>
      <c r="E339" t="n">
        <v>45</v>
      </c>
      <c r="F339" t="inlineStr">
        <is>
          <t>Normal</t>
        </is>
      </c>
    </row>
    <row r="340">
      <c r="A340" t="inlineStr">
        <is>
          <t>2026-09-02</t>
        </is>
      </c>
      <c r="B340" t="n">
        <v>0</v>
      </c>
      <c r="C340" t="n">
        <v>7</v>
      </c>
      <c r="D340" t="n">
        <v>23.7</v>
      </c>
      <c r="E340" t="n">
        <v>45</v>
      </c>
      <c r="F340" t="inlineStr">
        <is>
          <t>Normal</t>
        </is>
      </c>
    </row>
    <row r="341">
      <c r="A341" t="inlineStr">
        <is>
          <t>2026-09-03</t>
        </is>
      </c>
      <c r="B341" t="n">
        <v>0</v>
      </c>
      <c r="C341" t="n">
        <v>8.800000000000001</v>
      </c>
      <c r="D341" t="n">
        <v>23</v>
      </c>
      <c r="E341" t="n">
        <v>45</v>
      </c>
      <c r="F341" t="inlineStr">
        <is>
          <t>Normal</t>
        </is>
      </c>
    </row>
    <row r="342">
      <c r="A342" t="inlineStr">
        <is>
          <t>2026-09-04</t>
        </is>
      </c>
      <c r="B342" t="n">
        <v>0</v>
      </c>
      <c r="C342" t="n">
        <v>9.4</v>
      </c>
      <c r="D342" t="n">
        <v>22.8</v>
      </c>
      <c r="E342" t="n">
        <v>43</v>
      </c>
      <c r="F342" t="inlineStr">
        <is>
          <t>Normal</t>
        </is>
      </c>
    </row>
    <row r="343">
      <c r="A343" t="inlineStr">
        <is>
          <t>2026-09-05</t>
        </is>
      </c>
      <c r="B343" t="n">
        <v>0</v>
      </c>
      <c r="C343" t="n">
        <v>8.4</v>
      </c>
      <c r="D343" t="n">
        <v>23.6</v>
      </c>
      <c r="E343" t="n">
        <v>47</v>
      </c>
      <c r="F343" t="inlineStr">
        <is>
          <t>Normal</t>
        </is>
      </c>
    </row>
    <row r="344">
      <c r="A344" t="inlineStr">
        <is>
          <t>2026-09-06</t>
        </is>
      </c>
      <c r="B344" t="n">
        <v>0</v>
      </c>
      <c r="C344" t="n">
        <v>6.9</v>
      </c>
      <c r="D344" t="n">
        <v>23.6</v>
      </c>
      <c r="E344" t="n">
        <v>37</v>
      </c>
      <c r="F344" t="inlineStr">
        <is>
          <t>Normal</t>
        </is>
      </c>
    </row>
    <row r="345">
      <c r="A345" t="inlineStr">
        <is>
          <t>2026-09-07</t>
        </is>
      </c>
      <c r="B345" t="n">
        <v>0</v>
      </c>
      <c r="C345" t="n">
        <v>7.4</v>
      </c>
      <c r="D345" t="n">
        <v>22.7</v>
      </c>
      <c r="E345" t="n">
        <v>39</v>
      </c>
      <c r="F345" t="inlineStr">
        <is>
          <t>Normal</t>
        </is>
      </c>
    </row>
    <row r="346">
      <c r="A346" t="inlineStr">
        <is>
          <t>2026-09-08</t>
        </is>
      </c>
      <c r="B346" t="n">
        <v>0</v>
      </c>
      <c r="C346" t="n">
        <v>8</v>
      </c>
      <c r="D346" t="n">
        <v>21</v>
      </c>
      <c r="E346" t="n">
        <v>40</v>
      </c>
      <c r="F346" t="inlineStr">
        <is>
          <t>Normal</t>
        </is>
      </c>
    </row>
    <row r="347">
      <c r="A347" t="inlineStr">
        <is>
          <t>2026-09-09</t>
        </is>
      </c>
      <c r="B347" t="n">
        <v>0</v>
      </c>
      <c r="C347" t="n">
        <v>6.6</v>
      </c>
      <c r="D347" t="n">
        <v>22.8</v>
      </c>
      <c r="E347" t="n">
        <v>46</v>
      </c>
      <c r="F347" t="inlineStr">
        <is>
          <t>Normal</t>
        </is>
      </c>
    </row>
    <row r="348">
      <c r="A348" t="inlineStr">
        <is>
          <t>2026-09-10</t>
        </is>
      </c>
      <c r="B348" t="n">
        <v>0</v>
      </c>
      <c r="C348" t="n">
        <v>9.199999999999999</v>
      </c>
      <c r="D348" t="n">
        <v>21.1</v>
      </c>
      <c r="E348" t="n">
        <v>46</v>
      </c>
      <c r="F348" t="inlineStr">
        <is>
          <t>Normal</t>
        </is>
      </c>
    </row>
    <row r="349">
      <c r="A349" t="inlineStr">
        <is>
          <t>2026-09-11</t>
        </is>
      </c>
      <c r="B349" t="n">
        <v>0</v>
      </c>
      <c r="C349" t="n">
        <v>8</v>
      </c>
      <c r="D349" t="n">
        <v>23.5</v>
      </c>
      <c r="E349" t="n">
        <v>42</v>
      </c>
      <c r="F349" t="inlineStr">
        <is>
          <t>Normal</t>
        </is>
      </c>
    </row>
    <row r="350">
      <c r="A350" t="inlineStr">
        <is>
          <t>2026-09-12</t>
        </is>
      </c>
      <c r="B350" t="n">
        <v>0</v>
      </c>
      <c r="C350" t="n">
        <v>8.9</v>
      </c>
      <c r="D350" t="n">
        <v>23.2</v>
      </c>
      <c r="E350" t="n">
        <v>47</v>
      </c>
      <c r="F350" t="inlineStr">
        <is>
          <t>Normal</t>
        </is>
      </c>
    </row>
    <row r="351">
      <c r="A351" t="inlineStr">
        <is>
          <t>2026-09-13</t>
        </is>
      </c>
      <c r="B351" t="n">
        <v>0</v>
      </c>
      <c r="C351" t="n">
        <v>9</v>
      </c>
      <c r="D351" t="n">
        <v>22.8</v>
      </c>
      <c r="E351" t="n">
        <v>44</v>
      </c>
      <c r="F351" t="inlineStr">
        <is>
          <t>Normal</t>
        </is>
      </c>
    </row>
    <row r="352">
      <c r="A352" t="inlineStr">
        <is>
          <t>2026-09-14</t>
        </is>
      </c>
      <c r="B352" t="n">
        <v>0</v>
      </c>
      <c r="C352" t="n">
        <v>7.9</v>
      </c>
      <c r="D352" t="n">
        <v>22.2</v>
      </c>
      <c r="E352" t="n">
        <v>38</v>
      </c>
      <c r="F352" t="inlineStr">
        <is>
          <t>Normal</t>
        </is>
      </c>
    </row>
    <row r="353">
      <c r="A353" t="inlineStr">
        <is>
          <t>2026-09-15</t>
        </is>
      </c>
      <c r="B353" t="n">
        <v>0</v>
      </c>
      <c r="C353" t="n">
        <v>6.7</v>
      </c>
      <c r="D353" t="n">
        <v>21</v>
      </c>
      <c r="E353" t="n">
        <v>47</v>
      </c>
      <c r="F353" t="inlineStr">
        <is>
          <t>Normal</t>
        </is>
      </c>
    </row>
  </sheetData>
  <mergeCells count="1">
    <mergeCell ref="A1:F1"/>
  </mergeCells>
  <dataValidations count="1">
    <dataValidation sqref="F3:F500" showDropDown="0" showInputMessage="0" showErrorMessage="1" allowBlank="1" errorTitle="Invalid entry" error="Please choose a value from the list." type="list">
      <formula1>LIST_WEATHER_EVENT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2F5597"/>
    <outlinePr summaryBelow="1" summaryRight="1"/>
    <pageSetUpPr/>
  </sheetPr>
  <dimension ref="A1:K78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4" customWidth="1" min="1" max="4"/>
    <col width="15" customWidth="1" min="5" max="5"/>
    <col width="14" customWidth="1" min="6" max="8"/>
    <col width="20" customWidth="1" min="9" max="9"/>
    <col width="14" customWidth="1" min="10" max="11"/>
  </cols>
  <sheetData>
    <row r="1">
      <c r="A1" s="1" t="inlineStr">
        <is>
          <t>PURPOSE: THE cross-domain sheet. Pigs and chickens draw from the same store, so this is where 'feed cost split between pigs and chickens' is actually answered accurately.   |   CADENCE: Weekly stock count (+ every delivery)   |   ENTERED BY: Store keeper</t>
        </is>
      </c>
    </row>
    <row r="2">
      <c r="A2" s="6" t="inlineStr">
        <is>
          <t>date</t>
        </is>
      </c>
      <c r="B2" s="6" t="inlineStr">
        <is>
          <t>domain</t>
        </is>
      </c>
      <c r="C2" s="6" t="inlineStr">
        <is>
          <t>feed_type</t>
        </is>
      </c>
      <c r="D2" s="6" t="inlineStr">
        <is>
          <t>opening_kg</t>
        </is>
      </c>
      <c r="E2" s="6" t="inlineStr">
        <is>
          <t>received_kg</t>
        </is>
      </c>
      <c r="F2" s="6" t="inlineStr">
        <is>
          <t>used_kg</t>
        </is>
      </c>
      <c r="G2" s="6" t="inlineStr">
        <is>
          <t>waste_kg</t>
        </is>
      </c>
      <c r="H2" s="6" t="inlineStr">
        <is>
          <t>closing_kg</t>
        </is>
      </c>
      <c r="I2" s="6" t="inlineStr">
        <is>
          <t>unit_cost_per_kg</t>
        </is>
      </c>
      <c r="J2" s="6" t="inlineStr">
        <is>
          <t>supplier</t>
        </is>
      </c>
      <c r="K2" s="6" t="inlineStr">
        <is>
          <t>batch_ref</t>
        </is>
      </c>
    </row>
    <row r="3">
      <c r="A3" s="8" t="inlineStr">
        <is>
          <t>2026-09-07</t>
        </is>
      </c>
      <c r="B3" s="7" t="inlineStr">
        <is>
          <t>piggery</t>
        </is>
      </c>
      <c r="C3" s="7" t="inlineStr">
        <is>
          <t>Pig grower</t>
        </is>
      </c>
      <c r="D3" s="7" t="n">
        <v>1200</v>
      </c>
      <c r="E3" s="7" t="n">
        <v>500</v>
      </c>
      <c r="F3" s="7" t="n">
        <v>430</v>
      </c>
      <c r="G3" s="7" t="n">
        <v>5</v>
      </c>
      <c r="H3" s="7" t="n">
        <v>1265</v>
      </c>
      <c r="I3" s="7" t="n">
        <v>0.68</v>
      </c>
      <c r="J3" s="7" t="inlineStr">
        <is>
          <t>Profeeds Marondera</t>
        </is>
      </c>
      <c r="K3" s="7" t="n"/>
    </row>
    <row r="4">
      <c r="A4" t="inlineStr">
        <is>
          <t>2025-10-27</t>
        </is>
      </c>
      <c r="B4" t="inlineStr">
        <is>
          <t>piggery</t>
        </is>
      </c>
      <c r="C4" t="inlineStr">
        <is>
          <t>Pig grower</t>
        </is>
      </c>
      <c r="D4" t="n">
        <v>400</v>
      </c>
      <c r="E4" t="n">
        <v>240</v>
      </c>
      <c r="F4" t="n">
        <v>3.7</v>
      </c>
      <c r="G4" t="n">
        <v>0</v>
      </c>
      <c r="H4" t="n">
        <v>636.3</v>
      </c>
      <c r="I4" t="n">
        <v>0.68</v>
      </c>
      <c r="J4" t="inlineStr">
        <is>
          <t>Profeeds Marondera</t>
        </is>
      </c>
    </row>
    <row r="5">
      <c r="A5" t="inlineStr">
        <is>
          <t>2025-11-03</t>
        </is>
      </c>
      <c r="B5" t="inlineStr">
        <is>
          <t>piggery</t>
        </is>
      </c>
      <c r="C5" t="inlineStr">
        <is>
          <t>Pig grower</t>
        </is>
      </c>
      <c r="D5" t="n">
        <v>636.3</v>
      </c>
      <c r="E5" t="n">
        <v>237</v>
      </c>
      <c r="F5" t="n">
        <v>30.4</v>
      </c>
      <c r="G5" t="n">
        <v>0.4</v>
      </c>
      <c r="H5" t="n">
        <v>842.5</v>
      </c>
      <c r="I5" t="n">
        <v>0.68</v>
      </c>
      <c r="J5" t="inlineStr">
        <is>
          <t>Profeeds Marondera</t>
        </is>
      </c>
    </row>
    <row r="6">
      <c r="A6" t="inlineStr">
        <is>
          <t>2025-11-10</t>
        </is>
      </c>
      <c r="B6" t="inlineStr">
        <is>
          <t>piggery</t>
        </is>
      </c>
      <c r="C6" t="inlineStr">
        <is>
          <t>Pig grower</t>
        </is>
      </c>
      <c r="D6" t="n">
        <v>842.5</v>
      </c>
      <c r="E6" t="n">
        <v>239</v>
      </c>
      <c r="F6" t="n">
        <v>109.1</v>
      </c>
      <c r="G6" t="n">
        <v>1.3</v>
      </c>
      <c r="H6" t="n">
        <v>971.1</v>
      </c>
      <c r="I6" t="n">
        <v>0.68</v>
      </c>
      <c r="J6" t="inlineStr">
        <is>
          <t>Profeeds Marondera</t>
        </is>
      </c>
    </row>
    <row r="7">
      <c r="A7" t="inlineStr">
        <is>
          <t>2025-11-17</t>
        </is>
      </c>
      <c r="B7" t="inlineStr">
        <is>
          <t>piggery</t>
        </is>
      </c>
      <c r="C7" t="inlineStr">
        <is>
          <t>Pig grower</t>
        </is>
      </c>
      <c r="D7" t="n">
        <v>971.1</v>
      </c>
      <c r="E7" t="n">
        <v>256</v>
      </c>
      <c r="F7" t="n">
        <v>143</v>
      </c>
      <c r="G7" t="n">
        <v>1.7</v>
      </c>
      <c r="H7" t="n">
        <v>1082.4</v>
      </c>
      <c r="I7" t="n">
        <v>0.68</v>
      </c>
      <c r="J7" t="inlineStr">
        <is>
          <t>Profeeds Marondera</t>
        </is>
      </c>
    </row>
    <row r="8">
      <c r="A8" t="inlineStr">
        <is>
          <t>2025-11-24</t>
        </is>
      </c>
      <c r="B8" t="inlineStr">
        <is>
          <t>piggery</t>
        </is>
      </c>
      <c r="C8" t="inlineStr">
        <is>
          <t>Pig grower</t>
        </is>
      </c>
      <c r="D8" t="n">
        <v>1082.4</v>
      </c>
      <c r="E8" t="n">
        <v>232</v>
      </c>
      <c r="F8" t="n">
        <v>178.6</v>
      </c>
      <c r="G8" t="n">
        <v>2.1</v>
      </c>
      <c r="H8" t="n">
        <v>1133.7</v>
      </c>
      <c r="I8" t="n">
        <v>0.68</v>
      </c>
      <c r="J8" t="inlineStr">
        <is>
          <t>Profeeds Marondera</t>
        </is>
      </c>
    </row>
    <row r="9">
      <c r="A9" t="inlineStr">
        <is>
          <t>2025-12-01</t>
        </is>
      </c>
      <c r="B9" t="inlineStr">
        <is>
          <t>piggery</t>
        </is>
      </c>
      <c r="C9" t="inlineStr">
        <is>
          <t>Pig grower</t>
        </is>
      </c>
      <c r="D9" t="n">
        <v>1133.7</v>
      </c>
      <c r="E9" t="n">
        <v>267</v>
      </c>
      <c r="F9" t="n">
        <v>214.7</v>
      </c>
      <c r="G9" t="n">
        <v>2.6</v>
      </c>
      <c r="H9" t="n">
        <v>1183.4</v>
      </c>
      <c r="I9" t="n">
        <v>0.68</v>
      </c>
      <c r="J9" t="inlineStr">
        <is>
          <t>Profeeds Marondera</t>
        </is>
      </c>
    </row>
    <row r="10">
      <c r="A10" t="inlineStr">
        <is>
          <t>2025-12-08</t>
        </is>
      </c>
      <c r="B10" t="inlineStr">
        <is>
          <t>piggery</t>
        </is>
      </c>
      <c r="C10" t="inlineStr">
        <is>
          <t>Pig grower</t>
        </is>
      </c>
      <c r="D10" t="n">
        <v>1183.4</v>
      </c>
      <c r="E10" t="n">
        <v>254</v>
      </c>
      <c r="F10" t="n">
        <v>244.3</v>
      </c>
      <c r="G10" t="n">
        <v>2.9</v>
      </c>
      <c r="H10" t="n">
        <v>1190.2</v>
      </c>
      <c r="I10" t="n">
        <v>0.68</v>
      </c>
      <c r="J10" t="inlineStr">
        <is>
          <t>Profeeds Marondera</t>
        </is>
      </c>
    </row>
    <row r="11">
      <c r="A11" t="inlineStr">
        <is>
          <t>2025-12-15</t>
        </is>
      </c>
      <c r="B11" t="inlineStr">
        <is>
          <t>piggery</t>
        </is>
      </c>
      <c r="C11" t="inlineStr">
        <is>
          <t>Pig grower</t>
        </is>
      </c>
      <c r="D11" t="n">
        <v>1190.2</v>
      </c>
      <c r="E11" t="n">
        <v>334</v>
      </c>
      <c r="F11" t="n">
        <v>280.9</v>
      </c>
      <c r="G11" t="n">
        <v>3.4</v>
      </c>
      <c r="H11" t="n">
        <v>1239.9</v>
      </c>
      <c r="I11" t="n">
        <v>0.68</v>
      </c>
      <c r="J11" t="inlineStr">
        <is>
          <t>Profeeds Marondera</t>
        </is>
      </c>
    </row>
    <row r="12">
      <c r="A12" t="inlineStr">
        <is>
          <t>2025-12-22</t>
        </is>
      </c>
      <c r="B12" t="inlineStr">
        <is>
          <t>piggery</t>
        </is>
      </c>
      <c r="C12" t="inlineStr">
        <is>
          <t>Pig grower</t>
        </is>
      </c>
      <c r="D12" t="n">
        <v>1239.9</v>
      </c>
      <c r="E12" t="n">
        <v>371</v>
      </c>
      <c r="F12" t="n">
        <v>301.1</v>
      </c>
      <c r="G12" t="n">
        <v>3.6</v>
      </c>
      <c r="H12" t="n">
        <v>1306.2</v>
      </c>
      <c r="I12" t="n">
        <v>0.68</v>
      </c>
      <c r="J12" t="inlineStr">
        <is>
          <t>Profeeds Marondera</t>
        </is>
      </c>
    </row>
    <row r="13">
      <c r="A13" t="inlineStr">
        <is>
          <t>2025-12-29</t>
        </is>
      </c>
      <c r="B13" t="inlineStr">
        <is>
          <t>piggery</t>
        </is>
      </c>
      <c r="C13" t="inlineStr">
        <is>
          <t>Pig grower</t>
        </is>
      </c>
      <c r="D13" t="n">
        <v>1306.2</v>
      </c>
      <c r="E13" t="n">
        <v>371</v>
      </c>
      <c r="F13" t="n">
        <v>334.7</v>
      </c>
      <c r="G13" t="n">
        <v>4</v>
      </c>
      <c r="H13" t="n">
        <v>1338.5</v>
      </c>
      <c r="I13" t="n">
        <v>0.68</v>
      </c>
      <c r="J13" t="inlineStr">
        <is>
          <t>Profeeds Marondera</t>
        </is>
      </c>
    </row>
    <row r="14">
      <c r="A14" t="inlineStr">
        <is>
          <t>2026-01-05</t>
        </is>
      </c>
      <c r="B14" t="inlineStr">
        <is>
          <t>piggery</t>
        </is>
      </c>
      <c r="C14" t="inlineStr">
        <is>
          <t>Pig grower</t>
        </is>
      </c>
      <c r="D14" t="n">
        <v>1338.5</v>
      </c>
      <c r="E14" t="n">
        <v>433</v>
      </c>
      <c r="F14" t="n">
        <v>378.1</v>
      </c>
      <c r="G14" t="n">
        <v>4.5</v>
      </c>
      <c r="H14" t="n">
        <v>1388.9</v>
      </c>
      <c r="I14" t="n">
        <v>0.68</v>
      </c>
      <c r="J14" t="inlineStr">
        <is>
          <t>Profeeds Marondera</t>
        </is>
      </c>
    </row>
    <row r="15">
      <c r="A15" t="inlineStr">
        <is>
          <t>2026-01-12</t>
        </is>
      </c>
      <c r="B15" t="inlineStr">
        <is>
          <t>piggery</t>
        </is>
      </c>
      <c r="C15" t="inlineStr">
        <is>
          <t>Pig grower</t>
        </is>
      </c>
      <c r="D15" t="n">
        <v>1388.9</v>
      </c>
      <c r="E15" t="n">
        <v>507</v>
      </c>
      <c r="F15" t="n">
        <v>402.9</v>
      </c>
      <c r="G15" t="n">
        <v>4.8</v>
      </c>
      <c r="H15" t="n">
        <v>1488.2</v>
      </c>
      <c r="I15" t="n">
        <v>0.68</v>
      </c>
      <c r="J15" t="inlineStr">
        <is>
          <t>Profeeds Marondera</t>
        </is>
      </c>
    </row>
    <row r="16">
      <c r="A16" t="inlineStr">
        <is>
          <t>2026-01-19</t>
        </is>
      </c>
      <c r="B16" t="inlineStr">
        <is>
          <t>piggery</t>
        </is>
      </c>
      <c r="C16" t="inlineStr">
        <is>
          <t>Pig grower</t>
        </is>
      </c>
      <c r="D16" t="n">
        <v>1488.2</v>
      </c>
      <c r="E16" t="n">
        <v>507</v>
      </c>
      <c r="F16" t="n">
        <v>437.4</v>
      </c>
      <c r="G16" t="n">
        <v>5.2</v>
      </c>
      <c r="H16" t="n">
        <v>1552.6</v>
      </c>
      <c r="I16" t="n">
        <v>0.68</v>
      </c>
      <c r="J16" t="inlineStr">
        <is>
          <t>Profeeds Marondera</t>
        </is>
      </c>
    </row>
    <row r="17">
      <c r="A17" t="inlineStr">
        <is>
          <t>2026-01-26</t>
        </is>
      </c>
      <c r="B17" t="inlineStr">
        <is>
          <t>piggery</t>
        </is>
      </c>
      <c r="C17" t="inlineStr">
        <is>
          <t>Pig grower</t>
        </is>
      </c>
      <c r="D17" t="n">
        <v>1552.6</v>
      </c>
      <c r="E17" t="n">
        <v>520</v>
      </c>
      <c r="F17" t="n">
        <v>473.9</v>
      </c>
      <c r="G17" t="n">
        <v>5.7</v>
      </c>
      <c r="H17" t="n">
        <v>1593</v>
      </c>
      <c r="I17" t="n">
        <v>0.68</v>
      </c>
      <c r="J17" t="inlineStr">
        <is>
          <t>Profeeds Marondera</t>
        </is>
      </c>
    </row>
    <row r="18">
      <c r="A18" t="inlineStr">
        <is>
          <t>2026-02-02</t>
        </is>
      </c>
      <c r="B18" t="inlineStr">
        <is>
          <t>piggery</t>
        </is>
      </c>
      <c r="C18" t="inlineStr">
        <is>
          <t>Pig grower</t>
        </is>
      </c>
      <c r="D18" t="n">
        <v>1593</v>
      </c>
      <c r="E18" t="n">
        <v>564</v>
      </c>
      <c r="F18" t="n">
        <v>495.5</v>
      </c>
      <c r="G18" t="n">
        <v>5.9</v>
      </c>
      <c r="H18" t="n">
        <v>1655.6</v>
      </c>
      <c r="I18" t="n">
        <v>0.83</v>
      </c>
      <c r="J18" t="inlineStr">
        <is>
          <t>Profeeds Marondera</t>
        </is>
      </c>
    </row>
    <row r="19">
      <c r="A19" t="inlineStr">
        <is>
          <t>2026-02-09</t>
        </is>
      </c>
      <c r="B19" t="inlineStr">
        <is>
          <t>piggery</t>
        </is>
      </c>
      <c r="C19" t="inlineStr">
        <is>
          <t>Pig grower</t>
        </is>
      </c>
      <c r="D19" t="n">
        <v>1655.6</v>
      </c>
      <c r="E19" t="n">
        <v>709</v>
      </c>
      <c r="F19" t="n">
        <v>563.9</v>
      </c>
      <c r="G19" t="n">
        <v>6.8</v>
      </c>
      <c r="H19" t="n">
        <v>1793.9</v>
      </c>
      <c r="I19" t="n">
        <v>0.68</v>
      </c>
      <c r="J19" t="inlineStr">
        <is>
          <t>Profeeds Marondera</t>
        </is>
      </c>
    </row>
    <row r="20">
      <c r="A20" t="inlineStr">
        <is>
          <t>2026-02-16</t>
        </is>
      </c>
      <c r="B20" t="inlineStr">
        <is>
          <t>piggery</t>
        </is>
      </c>
      <c r="C20" t="inlineStr">
        <is>
          <t>Pig grower</t>
        </is>
      </c>
      <c r="D20" t="n">
        <v>1793.9</v>
      </c>
      <c r="E20" t="n">
        <v>539</v>
      </c>
      <c r="F20" t="n">
        <v>451.1</v>
      </c>
      <c r="G20" t="n">
        <v>5.4</v>
      </c>
      <c r="H20" t="n">
        <v>1876.4</v>
      </c>
      <c r="I20" t="n">
        <v>0.68</v>
      </c>
      <c r="J20" t="inlineStr">
        <is>
          <t>Profeeds Marondera</t>
        </is>
      </c>
    </row>
    <row r="21">
      <c r="A21" t="inlineStr">
        <is>
          <t>2026-02-23</t>
        </is>
      </c>
      <c r="B21" t="inlineStr">
        <is>
          <t>piggery</t>
        </is>
      </c>
      <c r="C21" t="inlineStr">
        <is>
          <t>Pig grower</t>
        </is>
      </c>
      <c r="D21" t="n">
        <v>1876.4</v>
      </c>
      <c r="E21" t="n">
        <v>442</v>
      </c>
      <c r="F21" t="n">
        <v>410.5</v>
      </c>
      <c r="G21" t="n">
        <v>4.9</v>
      </c>
      <c r="H21" t="n">
        <v>1903</v>
      </c>
      <c r="I21" t="n">
        <v>0.68</v>
      </c>
      <c r="J21" t="inlineStr">
        <is>
          <t>Profeeds Marondera</t>
        </is>
      </c>
    </row>
    <row r="22">
      <c r="A22" t="inlineStr">
        <is>
          <t>2026-03-02</t>
        </is>
      </c>
      <c r="B22" t="inlineStr">
        <is>
          <t>piggery</t>
        </is>
      </c>
      <c r="C22" t="inlineStr">
        <is>
          <t>Pig grower</t>
        </is>
      </c>
      <c r="D22" t="n">
        <v>1903</v>
      </c>
      <c r="E22" t="n">
        <v>596</v>
      </c>
      <c r="F22" t="n">
        <v>508.4</v>
      </c>
      <c r="G22" t="n">
        <v>6.1</v>
      </c>
      <c r="H22" t="n">
        <v>1984.5</v>
      </c>
      <c r="I22" t="n">
        <v>0.68</v>
      </c>
      <c r="J22" t="inlineStr">
        <is>
          <t>Profeeds Marondera</t>
        </is>
      </c>
    </row>
    <row r="23">
      <c r="A23" t="inlineStr">
        <is>
          <t>2026-03-09</t>
        </is>
      </c>
      <c r="B23" t="inlineStr">
        <is>
          <t>piggery</t>
        </is>
      </c>
      <c r="C23" t="inlineStr">
        <is>
          <t>Pig grower</t>
        </is>
      </c>
      <c r="D23" t="n">
        <v>1984.5</v>
      </c>
      <c r="E23" t="n">
        <v>623</v>
      </c>
      <c r="F23" t="n">
        <v>527.8</v>
      </c>
      <c r="G23" t="n">
        <v>6.3</v>
      </c>
      <c r="H23" t="n">
        <v>2073.4</v>
      </c>
      <c r="I23" t="n">
        <v>0.68</v>
      </c>
      <c r="J23" t="inlineStr">
        <is>
          <t>Profeeds Marondera</t>
        </is>
      </c>
    </row>
    <row r="24">
      <c r="A24" t="inlineStr">
        <is>
          <t>2026-03-16</t>
        </is>
      </c>
      <c r="B24" t="inlineStr">
        <is>
          <t>piggery</t>
        </is>
      </c>
      <c r="C24" t="inlineStr">
        <is>
          <t>Pig grower</t>
        </is>
      </c>
      <c r="D24" t="n">
        <v>2073.4</v>
      </c>
      <c r="E24" t="n">
        <v>520</v>
      </c>
      <c r="F24" t="n">
        <v>439.8</v>
      </c>
      <c r="G24" t="n">
        <v>5.3</v>
      </c>
      <c r="H24" t="n">
        <v>2148.3</v>
      </c>
      <c r="I24" t="n">
        <v>0.68</v>
      </c>
      <c r="J24" t="inlineStr">
        <is>
          <t>Profeeds Marondera</t>
        </is>
      </c>
    </row>
    <row r="25">
      <c r="A25" t="inlineStr">
        <is>
          <t>2026-03-23</t>
        </is>
      </c>
      <c r="B25" t="inlineStr">
        <is>
          <t>piggery</t>
        </is>
      </c>
      <c r="C25" t="inlineStr">
        <is>
          <t>Pig grower</t>
        </is>
      </c>
      <c r="D25" t="n">
        <v>2148.3</v>
      </c>
      <c r="E25" t="n">
        <v>253</v>
      </c>
      <c r="F25" t="n">
        <v>156.9</v>
      </c>
      <c r="G25" t="n">
        <v>1.9</v>
      </c>
      <c r="H25" t="n">
        <v>2242.5</v>
      </c>
      <c r="I25" t="n">
        <v>0.68</v>
      </c>
      <c r="J25" t="inlineStr">
        <is>
          <t>Profeeds Marondera</t>
        </is>
      </c>
    </row>
    <row r="26">
      <c r="A26" t="inlineStr">
        <is>
          <t>2026-03-30</t>
        </is>
      </c>
      <c r="B26" t="inlineStr">
        <is>
          <t>piggery</t>
        </is>
      </c>
      <c r="C26" t="inlineStr">
        <is>
          <t>Pig grower</t>
        </is>
      </c>
      <c r="D26" t="n">
        <v>2242.5</v>
      </c>
      <c r="E26" t="n">
        <v>251</v>
      </c>
      <c r="F26" t="n">
        <v>187.7</v>
      </c>
      <c r="G26" t="n">
        <v>2.3</v>
      </c>
      <c r="H26" t="n">
        <v>2303.5</v>
      </c>
      <c r="I26" t="n">
        <v>0.68</v>
      </c>
      <c r="J26" t="inlineStr">
        <is>
          <t>Profeeds Marondera</t>
        </is>
      </c>
    </row>
    <row r="27">
      <c r="A27" t="inlineStr">
        <is>
          <t>2026-04-06</t>
        </is>
      </c>
      <c r="B27" t="inlineStr">
        <is>
          <t>piggery</t>
        </is>
      </c>
      <c r="C27" t="inlineStr">
        <is>
          <t>Pig grower</t>
        </is>
      </c>
      <c r="D27" t="n">
        <v>2303.5</v>
      </c>
      <c r="E27" t="n">
        <v>257</v>
      </c>
      <c r="F27" t="n">
        <v>209</v>
      </c>
      <c r="G27" t="n">
        <v>2.5</v>
      </c>
      <c r="H27" t="n">
        <v>2349</v>
      </c>
      <c r="I27" t="n">
        <v>0.68</v>
      </c>
      <c r="J27" t="inlineStr">
        <is>
          <t>Profeeds Marondera</t>
        </is>
      </c>
    </row>
    <row r="28">
      <c r="A28" t="inlineStr">
        <is>
          <t>2026-04-13</t>
        </is>
      </c>
      <c r="B28" t="inlineStr">
        <is>
          <t>piggery</t>
        </is>
      </c>
      <c r="C28" t="inlineStr">
        <is>
          <t>Pig grower</t>
        </is>
      </c>
      <c r="D28" t="n">
        <v>2349</v>
      </c>
      <c r="E28" t="n">
        <v>251</v>
      </c>
      <c r="F28" t="n">
        <v>227.3</v>
      </c>
      <c r="G28" t="n">
        <v>2.7</v>
      </c>
      <c r="H28" t="n">
        <v>2370</v>
      </c>
      <c r="I28" t="n">
        <v>0.68</v>
      </c>
      <c r="J28" t="inlineStr">
        <is>
          <t>Profeeds Marondera</t>
        </is>
      </c>
    </row>
    <row r="29">
      <c r="A29" t="inlineStr">
        <is>
          <t>2026-04-20</t>
        </is>
      </c>
      <c r="B29" t="inlineStr">
        <is>
          <t>piggery</t>
        </is>
      </c>
      <c r="C29" t="inlineStr">
        <is>
          <t>Pig grower</t>
        </is>
      </c>
      <c r="D29" t="n">
        <v>2370</v>
      </c>
      <c r="E29" t="n">
        <v>260</v>
      </c>
      <c r="F29" t="n">
        <v>233</v>
      </c>
      <c r="G29" t="n">
        <v>2.8</v>
      </c>
      <c r="H29" t="n">
        <v>2394.2</v>
      </c>
      <c r="I29" t="n">
        <v>0.68</v>
      </c>
      <c r="J29" t="inlineStr">
        <is>
          <t>Profeeds Marondera</t>
        </is>
      </c>
    </row>
    <row r="30">
      <c r="A30" t="inlineStr">
        <is>
          <t>2026-04-27</t>
        </is>
      </c>
      <c r="B30" t="inlineStr">
        <is>
          <t>piggery</t>
        </is>
      </c>
      <c r="C30" t="inlineStr">
        <is>
          <t>Pig grower</t>
        </is>
      </c>
      <c r="D30" t="n">
        <v>2394.2</v>
      </c>
      <c r="E30" t="n">
        <v>252</v>
      </c>
      <c r="F30" t="n">
        <v>157.1</v>
      </c>
      <c r="G30" t="n">
        <v>1.9</v>
      </c>
      <c r="H30" t="n">
        <v>2487.2</v>
      </c>
      <c r="I30" t="n">
        <v>0.68</v>
      </c>
      <c r="J30" t="inlineStr">
        <is>
          <t>Profeeds Marondera</t>
        </is>
      </c>
    </row>
    <row r="31">
      <c r="A31" t="inlineStr">
        <is>
          <t>2026-05-04</t>
        </is>
      </c>
      <c r="B31" t="inlineStr">
        <is>
          <t>piggery</t>
        </is>
      </c>
      <c r="C31" t="inlineStr">
        <is>
          <t>Pig grower</t>
        </is>
      </c>
      <c r="D31" t="n">
        <v>2487.2</v>
      </c>
      <c r="E31" t="n">
        <v>285</v>
      </c>
      <c r="F31" t="n">
        <v>233.6</v>
      </c>
      <c r="G31" t="n">
        <v>2.8</v>
      </c>
      <c r="H31" t="n">
        <v>2535.8</v>
      </c>
      <c r="I31" t="n">
        <v>0.68</v>
      </c>
      <c r="J31" t="inlineStr">
        <is>
          <t>Profeeds Marondera</t>
        </is>
      </c>
    </row>
    <row r="32">
      <c r="A32" t="inlineStr">
        <is>
          <t>2026-05-11</t>
        </is>
      </c>
      <c r="B32" t="inlineStr">
        <is>
          <t>piggery</t>
        </is>
      </c>
      <c r="C32" t="inlineStr">
        <is>
          <t>Pig grower</t>
        </is>
      </c>
      <c r="D32" t="n">
        <v>2535.8</v>
      </c>
      <c r="E32" t="n">
        <v>376</v>
      </c>
      <c r="F32" t="n">
        <v>330.7</v>
      </c>
      <c r="G32" t="n">
        <v>4</v>
      </c>
      <c r="H32" t="n">
        <v>2577.1</v>
      </c>
      <c r="I32" t="n">
        <v>0.68</v>
      </c>
      <c r="J32" t="inlineStr">
        <is>
          <t>Profeeds Marondera</t>
        </is>
      </c>
    </row>
    <row r="33">
      <c r="A33" t="inlineStr">
        <is>
          <t>2026-05-18</t>
        </is>
      </c>
      <c r="B33" t="inlineStr">
        <is>
          <t>piggery</t>
        </is>
      </c>
      <c r="C33" t="inlineStr">
        <is>
          <t>Pig grower</t>
        </is>
      </c>
      <c r="D33" t="n">
        <v>2577.1</v>
      </c>
      <c r="E33" t="n">
        <v>405</v>
      </c>
      <c r="F33" t="n">
        <v>361.6</v>
      </c>
      <c r="G33" t="n">
        <v>4.3</v>
      </c>
      <c r="H33" t="n">
        <v>2616.2</v>
      </c>
      <c r="I33" t="n">
        <v>0.68</v>
      </c>
      <c r="J33" t="inlineStr">
        <is>
          <t>Profeeds Marondera</t>
        </is>
      </c>
    </row>
    <row r="34">
      <c r="A34" t="inlineStr">
        <is>
          <t>2026-05-25</t>
        </is>
      </c>
      <c r="B34" t="inlineStr">
        <is>
          <t>piggery</t>
        </is>
      </c>
      <c r="C34" t="inlineStr">
        <is>
          <t>Pig grower</t>
        </is>
      </c>
      <c r="D34" t="n">
        <v>2616.2</v>
      </c>
      <c r="E34" t="n">
        <v>436</v>
      </c>
      <c r="F34" t="n">
        <v>398.7</v>
      </c>
      <c r="G34" t="n">
        <v>4.8</v>
      </c>
      <c r="H34" t="n">
        <v>2648.7</v>
      </c>
      <c r="I34" t="n">
        <v>0.68</v>
      </c>
      <c r="J34" t="inlineStr">
        <is>
          <t>Profeeds Marondera</t>
        </is>
      </c>
    </row>
    <row r="35">
      <c r="A35" t="inlineStr">
        <is>
          <t>2026-06-01</t>
        </is>
      </c>
      <c r="B35" t="inlineStr">
        <is>
          <t>piggery</t>
        </is>
      </c>
      <c r="C35" t="inlineStr">
        <is>
          <t>Pig grower</t>
        </is>
      </c>
      <c r="D35" t="n">
        <v>2648.7</v>
      </c>
      <c r="E35" t="n">
        <v>465</v>
      </c>
      <c r="F35" t="n">
        <v>420.7</v>
      </c>
      <c r="G35" t="n">
        <v>5</v>
      </c>
      <c r="H35" t="n">
        <v>2688</v>
      </c>
      <c r="I35" t="n">
        <v>0.68</v>
      </c>
      <c r="J35" t="inlineStr">
        <is>
          <t>Profeeds Marondera</t>
        </is>
      </c>
    </row>
    <row r="36">
      <c r="A36" t="inlineStr">
        <is>
          <t>2026-06-08</t>
        </is>
      </c>
      <c r="B36" t="inlineStr">
        <is>
          <t>piggery</t>
        </is>
      </c>
      <c r="C36" t="inlineStr">
        <is>
          <t>Pig grower</t>
        </is>
      </c>
      <c r="D36" t="n">
        <v>2688</v>
      </c>
      <c r="E36" t="n">
        <v>486</v>
      </c>
      <c r="F36" t="n">
        <v>469.6</v>
      </c>
      <c r="G36" t="n">
        <v>5.6</v>
      </c>
      <c r="H36" t="n">
        <v>2698.8</v>
      </c>
      <c r="I36" t="n">
        <v>0.68</v>
      </c>
      <c r="J36" t="inlineStr">
        <is>
          <t>Profeeds Marondera</t>
        </is>
      </c>
    </row>
    <row r="37">
      <c r="A37" t="inlineStr">
        <is>
          <t>2026-06-15</t>
        </is>
      </c>
      <c r="B37" t="inlineStr">
        <is>
          <t>piggery</t>
        </is>
      </c>
      <c r="C37" t="inlineStr">
        <is>
          <t>Pig grower</t>
        </is>
      </c>
      <c r="D37" t="n">
        <v>2698.8</v>
      </c>
      <c r="E37" t="n">
        <v>608</v>
      </c>
      <c r="F37" t="n">
        <v>497.3</v>
      </c>
      <c r="G37" t="n">
        <v>6</v>
      </c>
      <c r="H37" t="n">
        <v>2803.5</v>
      </c>
      <c r="I37" t="n">
        <v>0.68</v>
      </c>
      <c r="J37" t="inlineStr">
        <is>
          <t>Profeeds Marondera</t>
        </is>
      </c>
    </row>
    <row r="38">
      <c r="A38" t="inlineStr">
        <is>
          <t>2026-06-22</t>
        </is>
      </c>
      <c r="B38" t="inlineStr">
        <is>
          <t>piggery</t>
        </is>
      </c>
      <c r="C38" t="inlineStr">
        <is>
          <t>Pig grower</t>
        </is>
      </c>
      <c r="D38" t="n">
        <v>2803.5</v>
      </c>
      <c r="E38" t="n">
        <v>644</v>
      </c>
      <c r="F38" t="n">
        <v>523.5</v>
      </c>
      <c r="G38" t="n">
        <v>6.3</v>
      </c>
      <c r="H38" t="n">
        <v>2917.7</v>
      </c>
      <c r="I38" t="n">
        <v>0.68</v>
      </c>
      <c r="J38" t="inlineStr">
        <is>
          <t>Profeeds Marondera</t>
        </is>
      </c>
    </row>
    <row r="39">
      <c r="A39" t="inlineStr">
        <is>
          <t>2026-06-29</t>
        </is>
      </c>
      <c r="B39" t="inlineStr">
        <is>
          <t>piggery</t>
        </is>
      </c>
      <c r="C39" t="inlineStr">
        <is>
          <t>Pig grower</t>
        </is>
      </c>
      <c r="D39" t="n">
        <v>2917.7</v>
      </c>
      <c r="E39" t="n">
        <v>500</v>
      </c>
      <c r="F39" t="n">
        <v>448.6</v>
      </c>
      <c r="G39" t="n">
        <v>5.4</v>
      </c>
      <c r="H39" t="n">
        <v>2963.7</v>
      </c>
      <c r="I39" t="n">
        <v>0.68</v>
      </c>
      <c r="J39" t="inlineStr">
        <is>
          <t>Profeeds Marondera</t>
        </is>
      </c>
    </row>
    <row r="40">
      <c r="A40" t="inlineStr">
        <is>
          <t>2026-07-06</t>
        </is>
      </c>
      <c r="B40" t="inlineStr">
        <is>
          <t>piggery</t>
        </is>
      </c>
      <c r="C40" t="inlineStr">
        <is>
          <t>Pig grower</t>
        </is>
      </c>
      <c r="D40" t="n">
        <v>2963.7</v>
      </c>
      <c r="E40" t="n">
        <v>570</v>
      </c>
      <c r="F40" t="n">
        <v>498.3</v>
      </c>
      <c r="G40" t="n">
        <v>6</v>
      </c>
      <c r="H40" t="n">
        <v>3029.4</v>
      </c>
      <c r="I40" t="n">
        <v>0.68</v>
      </c>
      <c r="J40" t="inlineStr">
        <is>
          <t>Profeeds Marondera</t>
        </is>
      </c>
    </row>
    <row r="41">
      <c r="A41" t="inlineStr">
        <is>
          <t>2026-07-13</t>
        </is>
      </c>
      <c r="B41" t="inlineStr">
        <is>
          <t>piggery</t>
        </is>
      </c>
      <c r="C41" t="inlineStr">
        <is>
          <t>Pig grower</t>
        </is>
      </c>
      <c r="D41" t="n">
        <v>3029.4</v>
      </c>
      <c r="E41" t="n">
        <v>554</v>
      </c>
      <c r="F41" t="n">
        <v>533.8</v>
      </c>
      <c r="G41" t="n">
        <v>6.4</v>
      </c>
      <c r="H41" t="n">
        <v>3043.2</v>
      </c>
      <c r="I41" t="n">
        <v>0.68</v>
      </c>
      <c r="J41" t="inlineStr">
        <is>
          <t>Profeeds Marondera</t>
        </is>
      </c>
    </row>
    <row r="42">
      <c r="A42" t="inlineStr">
        <is>
          <t>2026-07-20</t>
        </is>
      </c>
      <c r="B42" t="inlineStr">
        <is>
          <t>piggery</t>
        </is>
      </c>
      <c r="C42" t="inlineStr">
        <is>
          <t>Pig grower</t>
        </is>
      </c>
      <c r="D42" t="n">
        <v>3043.2</v>
      </c>
      <c r="E42" t="n">
        <v>684</v>
      </c>
      <c r="F42" t="n">
        <v>548.8</v>
      </c>
      <c r="G42" t="n">
        <v>6.6</v>
      </c>
      <c r="H42" t="n">
        <v>3171.8</v>
      </c>
      <c r="I42" t="n">
        <v>0.68</v>
      </c>
      <c r="J42" t="inlineStr">
        <is>
          <t>Profeeds Marondera</t>
        </is>
      </c>
    </row>
    <row r="43">
      <c r="A43" t="inlineStr">
        <is>
          <t>2026-07-27</t>
        </is>
      </c>
      <c r="B43" t="inlineStr">
        <is>
          <t>piggery</t>
        </is>
      </c>
      <c r="C43" t="inlineStr">
        <is>
          <t>Pig grower</t>
        </is>
      </c>
      <c r="D43" t="n">
        <v>3171.8</v>
      </c>
      <c r="E43" t="n">
        <v>718</v>
      </c>
      <c r="F43" t="n">
        <v>572.8</v>
      </c>
      <c r="G43" t="n">
        <v>6.9</v>
      </c>
      <c r="H43" t="n">
        <v>3310.1</v>
      </c>
      <c r="I43" t="n">
        <v>0.68</v>
      </c>
      <c r="J43" t="inlineStr">
        <is>
          <t>Profeeds Marondera</t>
        </is>
      </c>
    </row>
    <row r="44">
      <c r="A44" t="inlineStr">
        <is>
          <t>2026-08-03</t>
        </is>
      </c>
      <c r="B44" t="inlineStr">
        <is>
          <t>piggery</t>
        </is>
      </c>
      <c r="C44" t="inlineStr">
        <is>
          <t>Pig grower</t>
        </is>
      </c>
      <c r="D44" t="n">
        <v>3310.1</v>
      </c>
      <c r="E44" t="n">
        <v>664</v>
      </c>
      <c r="F44" t="n">
        <v>580.3</v>
      </c>
      <c r="G44" t="n">
        <v>7</v>
      </c>
      <c r="H44" t="n">
        <v>3386.8</v>
      </c>
      <c r="I44" t="n">
        <v>0.68</v>
      </c>
      <c r="J44" t="inlineStr">
        <is>
          <t>Profeeds Marondera</t>
        </is>
      </c>
    </row>
    <row r="45">
      <c r="A45" t="inlineStr">
        <is>
          <t>2026-08-10</t>
        </is>
      </c>
      <c r="B45" t="inlineStr">
        <is>
          <t>piggery</t>
        </is>
      </c>
      <c r="C45" t="inlineStr">
        <is>
          <t>Pig grower</t>
        </is>
      </c>
      <c r="D45" t="n">
        <v>3386.8</v>
      </c>
      <c r="E45" t="n">
        <v>622</v>
      </c>
      <c r="F45" t="n">
        <v>600.2</v>
      </c>
      <c r="G45" t="n">
        <v>7.2</v>
      </c>
      <c r="H45" t="n">
        <v>3401.4</v>
      </c>
      <c r="I45" t="n">
        <v>0.68</v>
      </c>
      <c r="J45" t="inlineStr">
        <is>
          <t>Profeeds Marondera</t>
        </is>
      </c>
    </row>
    <row r="46">
      <c r="A46" t="inlineStr">
        <is>
          <t>2026-08-17</t>
        </is>
      </c>
      <c r="B46" t="inlineStr">
        <is>
          <t>piggery</t>
        </is>
      </c>
      <c r="C46" t="inlineStr">
        <is>
          <t>Pig grower</t>
        </is>
      </c>
      <c r="D46" t="n">
        <v>3401.4</v>
      </c>
      <c r="E46" t="n">
        <v>285</v>
      </c>
      <c r="F46" t="n">
        <v>251.5</v>
      </c>
      <c r="G46" t="n">
        <v>3</v>
      </c>
      <c r="H46" t="n">
        <v>3431.9</v>
      </c>
      <c r="I46" t="n">
        <v>0.68</v>
      </c>
      <c r="J46" t="inlineStr">
        <is>
          <t>Profeeds Marondera</t>
        </is>
      </c>
    </row>
    <row r="47">
      <c r="A47" t="inlineStr">
        <is>
          <t>2026-08-24</t>
        </is>
      </c>
      <c r="B47" t="inlineStr">
        <is>
          <t>piggery</t>
        </is>
      </c>
      <c r="C47" t="inlineStr">
        <is>
          <t>Pig grower</t>
        </is>
      </c>
      <c r="D47" t="n">
        <v>3431.9</v>
      </c>
      <c r="E47" t="n">
        <v>240</v>
      </c>
      <c r="F47" t="n">
        <v>197.7</v>
      </c>
      <c r="G47" t="n">
        <v>2.4</v>
      </c>
      <c r="H47" t="n">
        <v>3471.8</v>
      </c>
      <c r="I47" t="n">
        <v>0.68</v>
      </c>
      <c r="J47" t="inlineStr">
        <is>
          <t>Profeeds Marondera</t>
        </is>
      </c>
    </row>
    <row r="48">
      <c r="A48" t="inlineStr">
        <is>
          <t>2026-08-31</t>
        </is>
      </c>
      <c r="B48" t="inlineStr">
        <is>
          <t>piggery</t>
        </is>
      </c>
      <c r="C48" t="inlineStr">
        <is>
          <t>Pig grower</t>
        </is>
      </c>
      <c r="D48" t="n">
        <v>3471.8</v>
      </c>
      <c r="E48" t="n">
        <v>237</v>
      </c>
      <c r="F48" t="n">
        <v>203.9</v>
      </c>
      <c r="G48" t="n">
        <v>2.4</v>
      </c>
      <c r="H48" t="n">
        <v>3502.5</v>
      </c>
      <c r="I48" t="n">
        <v>0.68</v>
      </c>
      <c r="J48" t="inlineStr">
        <is>
          <t>Profeeds Marondera</t>
        </is>
      </c>
    </row>
    <row r="49">
      <c r="A49" t="inlineStr">
        <is>
          <t>2026-09-07</t>
        </is>
      </c>
      <c r="B49" t="inlineStr">
        <is>
          <t>piggery</t>
        </is>
      </c>
      <c r="C49" t="inlineStr">
        <is>
          <t>Pig grower</t>
        </is>
      </c>
      <c r="D49" t="n">
        <v>3502.5</v>
      </c>
      <c r="E49" t="n">
        <v>225</v>
      </c>
      <c r="F49" t="n">
        <v>203</v>
      </c>
      <c r="G49" t="n">
        <v>2.4</v>
      </c>
      <c r="H49" t="n">
        <v>3522.1</v>
      </c>
      <c r="I49" t="n">
        <v>0.68</v>
      </c>
      <c r="J49" t="inlineStr">
        <is>
          <t>Profeeds Marondera</t>
        </is>
      </c>
    </row>
    <row r="50">
      <c r="A50" t="inlineStr">
        <is>
          <t>2026-09-14</t>
        </is>
      </c>
      <c r="B50" t="inlineStr">
        <is>
          <t>piggery</t>
        </is>
      </c>
      <c r="C50" t="inlineStr">
        <is>
          <t>Pig grower</t>
        </is>
      </c>
      <c r="D50" t="n">
        <v>3522.1</v>
      </c>
      <c r="E50" t="n">
        <v>244</v>
      </c>
      <c r="F50" t="n">
        <v>56.3</v>
      </c>
      <c r="G50" t="n">
        <v>0.7</v>
      </c>
      <c r="H50" t="n">
        <v>3709.1</v>
      </c>
      <c r="I50" t="n">
        <v>0.68</v>
      </c>
      <c r="J50" t="inlineStr">
        <is>
          <t>Profeeds Marondera</t>
        </is>
      </c>
    </row>
    <row r="51">
      <c r="A51" t="inlineStr">
        <is>
          <t>2025-10-06</t>
        </is>
      </c>
      <c r="B51" t="inlineStr">
        <is>
          <t>poultry</t>
        </is>
      </c>
      <c r="C51" t="inlineStr">
        <is>
          <t>Broiler grower</t>
        </is>
      </c>
      <c r="D51" t="n">
        <v>300</v>
      </c>
      <c r="E51" t="n">
        <v>196</v>
      </c>
      <c r="F51" t="n">
        <v>34.7</v>
      </c>
      <c r="G51" t="n">
        <v>0.5</v>
      </c>
      <c r="H51" t="n">
        <v>460.8</v>
      </c>
      <c r="I51" t="n">
        <v>0.72</v>
      </c>
      <c r="J51" t="inlineStr">
        <is>
          <t>Profeeds Marondera</t>
        </is>
      </c>
    </row>
    <row r="52">
      <c r="A52" t="inlineStr">
        <is>
          <t>2025-10-13</t>
        </is>
      </c>
      <c r="B52" t="inlineStr">
        <is>
          <t>poultry</t>
        </is>
      </c>
      <c r="C52" t="inlineStr">
        <is>
          <t>Broiler grower</t>
        </is>
      </c>
      <c r="D52" t="n">
        <v>460.8</v>
      </c>
      <c r="E52" t="n">
        <v>196</v>
      </c>
      <c r="F52" t="n">
        <v>123.2</v>
      </c>
      <c r="G52" t="n">
        <v>1.8</v>
      </c>
      <c r="H52" t="n">
        <v>531.8</v>
      </c>
      <c r="I52" t="n">
        <v>0.7</v>
      </c>
      <c r="J52" t="inlineStr">
        <is>
          <t>Profeeds Marondera</t>
        </is>
      </c>
    </row>
    <row r="53">
      <c r="A53" t="inlineStr">
        <is>
          <t>2025-10-20</t>
        </is>
      </c>
      <c r="B53" t="inlineStr">
        <is>
          <t>poultry</t>
        </is>
      </c>
      <c r="C53" t="inlineStr">
        <is>
          <t>Broiler grower</t>
        </is>
      </c>
      <c r="D53" t="n">
        <v>531.8</v>
      </c>
      <c r="E53" t="n">
        <v>226</v>
      </c>
      <c r="F53" t="n">
        <v>187.6</v>
      </c>
      <c r="G53" t="n">
        <v>2.8</v>
      </c>
      <c r="H53" t="n">
        <v>567.4</v>
      </c>
      <c r="I53" t="n">
        <v>0.71</v>
      </c>
      <c r="J53" t="inlineStr">
        <is>
          <t>Profeeds Marondera</t>
        </is>
      </c>
    </row>
    <row r="54">
      <c r="A54" t="inlineStr">
        <is>
          <t>2025-10-27</t>
        </is>
      </c>
      <c r="B54" t="inlineStr">
        <is>
          <t>poultry</t>
        </is>
      </c>
      <c r="C54" t="inlineStr">
        <is>
          <t>Broiler grower</t>
        </is>
      </c>
      <c r="D54" t="n">
        <v>567.4</v>
      </c>
      <c r="E54" t="n">
        <v>287</v>
      </c>
      <c r="F54" t="n">
        <v>256</v>
      </c>
      <c r="G54" t="n">
        <v>3.8</v>
      </c>
      <c r="H54" t="n">
        <v>594.6</v>
      </c>
      <c r="I54" t="n">
        <v>0.71</v>
      </c>
      <c r="J54" t="inlineStr">
        <is>
          <t>Profeeds Marondera</t>
        </is>
      </c>
    </row>
    <row r="55">
      <c r="A55" t="inlineStr">
        <is>
          <t>2025-11-03</t>
        </is>
      </c>
      <c r="B55" t="inlineStr">
        <is>
          <t>poultry</t>
        </is>
      </c>
      <c r="C55" t="inlineStr">
        <is>
          <t>Broiler grower</t>
        </is>
      </c>
      <c r="D55" t="n">
        <v>594.6</v>
      </c>
      <c r="E55" t="n">
        <v>365</v>
      </c>
      <c r="F55" t="n">
        <v>322.7</v>
      </c>
      <c r="G55" t="n">
        <v>4.8</v>
      </c>
      <c r="H55" t="n">
        <v>632.1</v>
      </c>
      <c r="I55" t="n">
        <v>0.7</v>
      </c>
      <c r="J55" t="inlineStr">
        <is>
          <t>Profeeds Marondera</t>
        </is>
      </c>
    </row>
    <row r="56">
      <c r="A56" t="inlineStr">
        <is>
          <t>2025-11-10</t>
        </is>
      </c>
      <c r="B56" t="inlineStr">
        <is>
          <t>poultry</t>
        </is>
      </c>
      <c r="C56" t="inlineStr">
        <is>
          <t>Broiler grower</t>
        </is>
      </c>
      <c r="D56" t="n">
        <v>632.1</v>
      </c>
      <c r="E56" t="n">
        <v>467</v>
      </c>
      <c r="F56" t="n">
        <v>385.4</v>
      </c>
      <c r="G56" t="n">
        <v>5.8</v>
      </c>
      <c r="H56" t="n">
        <v>707.9</v>
      </c>
      <c r="I56" t="n">
        <v>0.74</v>
      </c>
      <c r="J56" t="inlineStr">
        <is>
          <t>Profeeds Marondera</t>
        </is>
      </c>
    </row>
    <row r="57">
      <c r="A57" t="inlineStr">
        <is>
          <t>2025-11-17</t>
        </is>
      </c>
      <c r="B57" t="inlineStr">
        <is>
          <t>poultry</t>
        </is>
      </c>
      <c r="C57" t="inlineStr">
        <is>
          <t>Broiler grower</t>
        </is>
      </c>
      <c r="D57" t="n">
        <v>707.9</v>
      </c>
      <c r="E57" t="n">
        <v>370</v>
      </c>
      <c r="F57" t="n">
        <v>302.7</v>
      </c>
      <c r="G57" t="n">
        <v>4.5</v>
      </c>
      <c r="H57" t="n">
        <v>770.7</v>
      </c>
      <c r="I57" t="n">
        <v>0.73</v>
      </c>
      <c r="J57" t="inlineStr">
        <is>
          <t>Profeeds Marondera</t>
        </is>
      </c>
    </row>
    <row r="58">
      <c r="A58" t="inlineStr">
        <is>
          <t>2025-12-15</t>
        </is>
      </c>
      <c r="B58" t="inlineStr">
        <is>
          <t>poultry</t>
        </is>
      </c>
      <c r="C58" t="inlineStr">
        <is>
          <t>Broiler grower</t>
        </is>
      </c>
      <c r="D58" t="n">
        <v>770.7</v>
      </c>
      <c r="E58" t="n">
        <v>191</v>
      </c>
      <c r="F58" t="n">
        <v>23.1</v>
      </c>
      <c r="G58" t="n">
        <v>0.3</v>
      </c>
      <c r="H58" t="n">
        <v>938.3</v>
      </c>
      <c r="I58" t="n">
        <v>0.73</v>
      </c>
      <c r="J58" t="inlineStr">
        <is>
          <t>Profeeds Marondera</t>
        </is>
      </c>
    </row>
    <row r="59">
      <c r="A59" t="inlineStr">
        <is>
          <t>2025-12-22</t>
        </is>
      </c>
      <c r="B59" t="inlineStr">
        <is>
          <t>poultry</t>
        </is>
      </c>
      <c r="C59" t="inlineStr">
        <is>
          <t>Broiler grower</t>
        </is>
      </c>
      <c r="D59" t="n">
        <v>938.3</v>
      </c>
      <c r="E59" t="n">
        <v>212</v>
      </c>
      <c r="F59" t="n">
        <v>120.8</v>
      </c>
      <c r="G59" t="n">
        <v>1.8</v>
      </c>
      <c r="H59" t="n">
        <v>1027.7</v>
      </c>
      <c r="I59" t="n">
        <v>0.71</v>
      </c>
      <c r="J59" t="inlineStr">
        <is>
          <t>Profeeds Marondera</t>
        </is>
      </c>
    </row>
    <row r="60">
      <c r="A60" t="inlineStr">
        <is>
          <t>2025-12-29</t>
        </is>
      </c>
      <c r="B60" t="inlineStr">
        <is>
          <t>poultry</t>
        </is>
      </c>
      <c r="C60" t="inlineStr">
        <is>
          <t>Broiler grower</t>
        </is>
      </c>
      <c r="D60" t="n">
        <v>1027.7</v>
      </c>
      <c r="E60" t="n">
        <v>230</v>
      </c>
      <c r="F60" t="n">
        <v>186.5</v>
      </c>
      <c r="G60" t="n">
        <v>2.8</v>
      </c>
      <c r="H60" t="n">
        <v>1068.4</v>
      </c>
      <c r="I60" t="n">
        <v>0.7</v>
      </c>
      <c r="J60" t="inlineStr">
        <is>
          <t>Profeeds Marondera</t>
        </is>
      </c>
    </row>
    <row r="61">
      <c r="A61" t="inlineStr">
        <is>
          <t>2026-01-05</t>
        </is>
      </c>
      <c r="B61" t="inlineStr">
        <is>
          <t>poultry</t>
        </is>
      </c>
      <c r="C61" t="inlineStr">
        <is>
          <t>Broiler grower</t>
        </is>
      </c>
      <c r="D61" t="n">
        <v>1068.4</v>
      </c>
      <c r="E61" t="n">
        <v>282</v>
      </c>
      <c r="F61" t="n">
        <v>255.8</v>
      </c>
      <c r="G61" t="n">
        <v>3.8</v>
      </c>
      <c r="H61" t="n">
        <v>1090.8</v>
      </c>
      <c r="I61" t="n">
        <v>0.73</v>
      </c>
      <c r="J61" t="inlineStr">
        <is>
          <t>Profeeds Marondera</t>
        </is>
      </c>
    </row>
    <row r="62">
      <c r="A62" t="inlineStr">
        <is>
          <t>2026-01-12</t>
        </is>
      </c>
      <c r="B62" t="inlineStr">
        <is>
          <t>poultry</t>
        </is>
      </c>
      <c r="C62" t="inlineStr">
        <is>
          <t>Broiler grower</t>
        </is>
      </c>
      <c r="D62" t="n">
        <v>1090.8</v>
      </c>
      <c r="E62" t="n">
        <v>336</v>
      </c>
      <c r="F62" t="n">
        <v>285.6</v>
      </c>
      <c r="G62" t="n">
        <v>4.3</v>
      </c>
      <c r="H62" t="n">
        <v>1136.9</v>
      </c>
      <c r="I62" t="n">
        <v>0.71</v>
      </c>
      <c r="J62" t="inlineStr">
        <is>
          <t>Profeeds Marondera</t>
        </is>
      </c>
    </row>
    <row r="63">
      <c r="A63" t="inlineStr">
        <is>
          <t>2026-01-19</t>
        </is>
      </c>
      <c r="B63" t="inlineStr">
        <is>
          <t>poultry</t>
        </is>
      </c>
      <c r="C63" t="inlineStr">
        <is>
          <t>Broiler grower</t>
        </is>
      </c>
      <c r="D63" t="n">
        <v>1136.9</v>
      </c>
      <c r="E63" t="n">
        <v>435</v>
      </c>
      <c r="F63" t="n">
        <v>368.8</v>
      </c>
      <c r="G63" t="n">
        <v>5.5</v>
      </c>
      <c r="H63" t="n">
        <v>1197.6</v>
      </c>
      <c r="I63" t="n">
        <v>0.7</v>
      </c>
      <c r="J63" t="inlineStr">
        <is>
          <t>Profeeds Marondera</t>
        </is>
      </c>
    </row>
    <row r="64">
      <c r="A64" t="inlineStr">
        <is>
          <t>2026-01-26</t>
        </is>
      </c>
      <c r="B64" t="inlineStr">
        <is>
          <t>poultry</t>
        </is>
      </c>
      <c r="C64" t="inlineStr">
        <is>
          <t>Broiler grower</t>
        </is>
      </c>
      <c r="D64" t="n">
        <v>1197.6</v>
      </c>
      <c r="E64" t="n">
        <v>365</v>
      </c>
      <c r="F64" t="n">
        <v>351.6</v>
      </c>
      <c r="G64" t="n">
        <v>5.3</v>
      </c>
      <c r="H64" t="n">
        <v>1205.7</v>
      </c>
      <c r="I64" t="n">
        <v>0.6899999999999999</v>
      </c>
      <c r="J64" t="inlineStr">
        <is>
          <t>Profeeds Marondera</t>
        </is>
      </c>
    </row>
    <row r="65">
      <c r="A65" t="inlineStr">
        <is>
          <t>2026-03-02</t>
        </is>
      </c>
      <c r="B65" t="inlineStr">
        <is>
          <t>poultry</t>
        </is>
      </c>
      <c r="C65" t="inlineStr">
        <is>
          <t>Broiler grower</t>
        </is>
      </c>
      <c r="D65" t="n">
        <v>1205.7</v>
      </c>
      <c r="E65" t="n">
        <v>201</v>
      </c>
      <c r="F65" t="n">
        <v>44.9</v>
      </c>
      <c r="G65" t="n">
        <v>0.7</v>
      </c>
      <c r="H65" t="n">
        <v>1361.1</v>
      </c>
      <c r="I65" t="n">
        <v>0.7</v>
      </c>
      <c r="J65" t="inlineStr">
        <is>
          <t>Profeeds Marondera</t>
        </is>
      </c>
    </row>
    <row r="66">
      <c r="A66" t="inlineStr">
        <is>
          <t>2026-03-09</t>
        </is>
      </c>
      <c r="B66" t="inlineStr">
        <is>
          <t>poultry</t>
        </is>
      </c>
      <c r="C66" t="inlineStr">
        <is>
          <t>Broiler grower</t>
        </is>
      </c>
      <c r="D66" t="n">
        <v>1361.1</v>
      </c>
      <c r="E66" t="n">
        <v>184</v>
      </c>
      <c r="F66" t="n">
        <v>136.8</v>
      </c>
      <c r="G66" t="n">
        <v>2.1</v>
      </c>
      <c r="H66" t="n">
        <v>1406.2</v>
      </c>
      <c r="I66" t="n">
        <v>0.71</v>
      </c>
      <c r="J66" t="inlineStr">
        <is>
          <t>Profeeds Marondera</t>
        </is>
      </c>
    </row>
    <row r="67">
      <c r="A67" t="inlineStr">
        <is>
          <t>2026-03-16</t>
        </is>
      </c>
      <c r="B67" t="inlineStr">
        <is>
          <t>poultry</t>
        </is>
      </c>
      <c r="C67" t="inlineStr">
        <is>
          <t>Broiler grower</t>
        </is>
      </c>
      <c r="D67" t="n">
        <v>1406.2</v>
      </c>
      <c r="E67" t="n">
        <v>246</v>
      </c>
      <c r="F67" t="n">
        <v>205.5</v>
      </c>
      <c r="G67" t="n">
        <v>3.1</v>
      </c>
      <c r="H67" t="n">
        <v>1443.6</v>
      </c>
      <c r="I67" t="n">
        <v>0.73</v>
      </c>
      <c r="J67" t="inlineStr">
        <is>
          <t>Profeeds Marondera</t>
        </is>
      </c>
    </row>
    <row r="68">
      <c r="A68" t="inlineStr">
        <is>
          <t>2026-03-23</t>
        </is>
      </c>
      <c r="B68" t="inlineStr">
        <is>
          <t>poultry</t>
        </is>
      </c>
      <c r="C68" t="inlineStr">
        <is>
          <t>Broiler grower</t>
        </is>
      </c>
      <c r="D68" t="n">
        <v>1443.6</v>
      </c>
      <c r="E68" t="n">
        <v>280</v>
      </c>
      <c r="F68" t="n">
        <v>257.5</v>
      </c>
      <c r="G68" t="n">
        <v>3.9</v>
      </c>
      <c r="H68" t="n">
        <v>1462.2</v>
      </c>
      <c r="I68" t="n">
        <v>0.7</v>
      </c>
      <c r="J68" t="inlineStr">
        <is>
          <t>Profeeds Marondera</t>
        </is>
      </c>
    </row>
    <row r="69">
      <c r="A69" t="inlineStr">
        <is>
          <t>2026-03-30</t>
        </is>
      </c>
      <c r="B69" t="inlineStr">
        <is>
          <t>poultry</t>
        </is>
      </c>
      <c r="C69" t="inlineStr">
        <is>
          <t>Broiler grower</t>
        </is>
      </c>
      <c r="D69" t="n">
        <v>1462.2</v>
      </c>
      <c r="E69" t="n">
        <v>375</v>
      </c>
      <c r="F69" t="n">
        <v>326.2</v>
      </c>
      <c r="G69" t="n">
        <v>4.9</v>
      </c>
      <c r="H69" t="n">
        <v>1506.1</v>
      </c>
      <c r="I69" t="n">
        <v>0.71</v>
      </c>
      <c r="J69" t="inlineStr">
        <is>
          <t>Profeeds Marondera</t>
        </is>
      </c>
    </row>
    <row r="70">
      <c r="A70" t="inlineStr">
        <is>
          <t>2026-04-06</t>
        </is>
      </c>
      <c r="B70" t="inlineStr">
        <is>
          <t>poultry</t>
        </is>
      </c>
      <c r="C70" t="inlineStr">
        <is>
          <t>Broiler grower</t>
        </is>
      </c>
      <c r="D70" t="n">
        <v>1506.1</v>
      </c>
      <c r="E70" t="n">
        <v>419</v>
      </c>
      <c r="F70" t="n">
        <v>378.4</v>
      </c>
      <c r="G70" t="n">
        <v>5.7</v>
      </c>
      <c r="H70" t="n">
        <v>1541</v>
      </c>
      <c r="I70" t="n">
        <v>0.74</v>
      </c>
      <c r="J70" t="inlineStr">
        <is>
          <t>Profeeds Marondera</t>
        </is>
      </c>
    </row>
    <row r="71">
      <c r="A71" t="inlineStr">
        <is>
          <t>2026-04-13</t>
        </is>
      </c>
      <c r="B71" t="inlineStr">
        <is>
          <t>poultry</t>
        </is>
      </c>
      <c r="C71" t="inlineStr">
        <is>
          <t>Broiler grower</t>
        </is>
      </c>
      <c r="D71" t="n">
        <v>1541</v>
      </c>
      <c r="E71" t="n">
        <v>319</v>
      </c>
      <c r="F71" t="n">
        <v>252.2</v>
      </c>
      <c r="G71" t="n">
        <v>3.8</v>
      </c>
      <c r="H71" t="n">
        <v>1604</v>
      </c>
      <c r="I71" t="n">
        <v>0.72</v>
      </c>
      <c r="J71" t="inlineStr">
        <is>
          <t>Profeeds Marondera</t>
        </is>
      </c>
    </row>
    <row r="72">
      <c r="A72" t="inlineStr">
        <is>
          <t>2026-08-03</t>
        </is>
      </c>
      <c r="B72" t="inlineStr">
        <is>
          <t>poultry</t>
        </is>
      </c>
      <c r="C72" t="inlineStr">
        <is>
          <t>Broiler grower</t>
        </is>
      </c>
      <c r="D72" t="n">
        <v>1604</v>
      </c>
      <c r="E72" t="n">
        <v>212</v>
      </c>
      <c r="F72" t="n">
        <v>81.90000000000001</v>
      </c>
      <c r="G72" t="n">
        <v>1.2</v>
      </c>
      <c r="H72" t="n">
        <v>1732.9</v>
      </c>
      <c r="I72" t="n">
        <v>0.71</v>
      </c>
      <c r="J72" t="inlineStr">
        <is>
          <t>Profeeds Marondera</t>
        </is>
      </c>
    </row>
    <row r="73">
      <c r="A73" t="inlineStr">
        <is>
          <t>2026-08-10</t>
        </is>
      </c>
      <c r="B73" t="inlineStr">
        <is>
          <t>poultry</t>
        </is>
      </c>
      <c r="C73" t="inlineStr">
        <is>
          <t>Broiler grower</t>
        </is>
      </c>
      <c r="D73" t="n">
        <v>1732.9</v>
      </c>
      <c r="E73" t="n">
        <v>214</v>
      </c>
      <c r="F73" t="n">
        <v>152.7</v>
      </c>
      <c r="G73" t="n">
        <v>2.3</v>
      </c>
      <c r="H73" t="n">
        <v>1791.9</v>
      </c>
      <c r="I73" t="n">
        <v>0.75</v>
      </c>
      <c r="J73" t="inlineStr">
        <is>
          <t>Profeeds Marondera</t>
        </is>
      </c>
    </row>
    <row r="74">
      <c r="A74" t="inlineStr">
        <is>
          <t>2026-08-17</t>
        </is>
      </c>
      <c r="B74" t="inlineStr">
        <is>
          <t>poultry</t>
        </is>
      </c>
      <c r="C74" t="inlineStr">
        <is>
          <t>Broiler grower</t>
        </is>
      </c>
      <c r="D74" t="n">
        <v>1791.9</v>
      </c>
      <c r="E74" t="n">
        <v>228</v>
      </c>
      <c r="F74" t="n">
        <v>217.6</v>
      </c>
      <c r="G74" t="n">
        <v>3.3</v>
      </c>
      <c r="H74" t="n">
        <v>1799</v>
      </c>
      <c r="I74" t="n">
        <v>0.74</v>
      </c>
      <c r="J74" t="inlineStr">
        <is>
          <t>Profeeds Marondera</t>
        </is>
      </c>
    </row>
    <row r="75">
      <c r="A75" t="inlineStr">
        <is>
          <t>2026-08-24</t>
        </is>
      </c>
      <c r="B75" t="inlineStr">
        <is>
          <t>poultry</t>
        </is>
      </c>
      <c r="C75" t="inlineStr">
        <is>
          <t>Broiler grower</t>
        </is>
      </c>
      <c r="D75" t="n">
        <v>1799</v>
      </c>
      <c r="E75" t="n">
        <v>311</v>
      </c>
      <c r="F75" t="n">
        <v>295.5</v>
      </c>
      <c r="G75" t="n">
        <v>4.4</v>
      </c>
      <c r="H75" t="n">
        <v>1810.1</v>
      </c>
      <c r="I75" t="n">
        <v>0.72</v>
      </c>
      <c r="J75" t="inlineStr">
        <is>
          <t>Profeeds Marondera</t>
        </is>
      </c>
    </row>
    <row r="76">
      <c r="A76" t="inlineStr">
        <is>
          <t>2026-08-31</t>
        </is>
      </c>
      <c r="B76" t="inlineStr">
        <is>
          <t>poultry</t>
        </is>
      </c>
      <c r="C76" t="inlineStr">
        <is>
          <t>Broiler grower</t>
        </is>
      </c>
      <c r="D76" t="n">
        <v>1810.1</v>
      </c>
      <c r="E76" t="n">
        <v>389</v>
      </c>
      <c r="F76" t="n">
        <v>360.6</v>
      </c>
      <c r="G76" t="n">
        <v>5.4</v>
      </c>
      <c r="H76" t="n">
        <v>1833.1</v>
      </c>
      <c r="I76" t="n">
        <v>0.74</v>
      </c>
      <c r="J76" t="inlineStr">
        <is>
          <t>Profeeds Marondera</t>
        </is>
      </c>
    </row>
    <row r="77">
      <c r="A77" t="inlineStr">
        <is>
          <t>2026-09-07</t>
        </is>
      </c>
      <c r="B77" t="inlineStr">
        <is>
          <t>poultry</t>
        </is>
      </c>
      <c r="C77" t="inlineStr">
        <is>
          <t>Broiler grower</t>
        </is>
      </c>
      <c r="D77" t="n">
        <v>1833.1</v>
      </c>
      <c r="E77" t="n">
        <v>513</v>
      </c>
      <c r="F77" t="n">
        <v>419.1</v>
      </c>
      <c r="G77" t="n">
        <v>6.3</v>
      </c>
      <c r="H77" t="n">
        <v>1920.7</v>
      </c>
      <c r="I77" t="n">
        <v>0.74</v>
      </c>
      <c r="J77" t="inlineStr">
        <is>
          <t>Profeeds Marondera</t>
        </is>
      </c>
    </row>
    <row r="78">
      <c r="A78" t="inlineStr">
        <is>
          <t>2026-09-14</t>
        </is>
      </c>
      <c r="B78" t="inlineStr">
        <is>
          <t>poultry</t>
        </is>
      </c>
      <c r="C78" t="inlineStr">
        <is>
          <t>Broiler grower</t>
        </is>
      </c>
      <c r="D78" t="n">
        <v>1920.7</v>
      </c>
      <c r="E78" t="n">
        <v>185</v>
      </c>
      <c r="F78" t="n">
        <v>130.7</v>
      </c>
      <c r="G78" t="n">
        <v>2</v>
      </c>
      <c r="H78" t="n">
        <v>1973</v>
      </c>
      <c r="I78" t="n">
        <v>0.74</v>
      </c>
      <c r="J78" t="inlineStr">
        <is>
          <t>Profeeds Marondera</t>
        </is>
      </c>
    </row>
  </sheetData>
  <mergeCells count="1">
    <mergeCell ref="A1:K1"/>
  </mergeCells>
  <dataValidations count="2">
    <dataValidation sqref="B3:B500" showDropDown="0" showInputMessage="0" showErrorMessage="1" allowBlank="1" errorTitle="Invalid entry" error="Please choose a value from the list." type="list">
      <formula1>LIST_DOMAIN</formula1>
      <formula2>0</formula2>
    </dataValidation>
    <dataValidation sqref="C3:C500" showDropDown="0" showInputMessage="0" showErrorMessage="1" allowBlank="1" errorTitle="Invalid entry" error="Please choose a value from the list." type="list">
      <formula1>LIST_FEED_TYPE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2F5597"/>
    <outlinePr summaryBelow="1" summaryRight="1"/>
    <pageSetUpPr/>
  </sheetPr>
  <dimension ref="A1:N17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4" customWidth="1" min="1" max="9"/>
    <col width="19" customWidth="1" min="10" max="10"/>
    <col width="14" customWidth="1" min="11" max="11"/>
    <col width="20" customWidth="1" min="12" max="12"/>
    <col width="14" customWidth="1" min="13" max="13"/>
    <col width="19" customWidth="1" min="14" max="14"/>
  </cols>
  <sheetData>
    <row r="1">
      <c r="A1" s="1" t="inlineStr">
        <is>
          <t>PURPOSE: Unified livestock health ledger for pigs AND poultry — one shape, two domains, so disease-cost questions work across the farm.   |   CADENCE: Per event (treatment / vaccination)   |   ENTERED BY: Attendant or visiting vet</t>
        </is>
      </c>
    </row>
    <row r="2">
      <c r="A2" s="6" t="inlineStr">
        <is>
          <t>date</t>
        </is>
      </c>
      <c r="B2" s="6" t="inlineStr">
        <is>
          <t>domain</t>
        </is>
      </c>
      <c r="C2" s="6" t="inlineStr">
        <is>
          <t>batch_ref</t>
        </is>
      </c>
      <c r="D2" s="6" t="inlineStr">
        <is>
          <t>animal_tag</t>
        </is>
      </c>
      <c r="E2" s="6" t="inlineStr">
        <is>
          <t>event_type</t>
        </is>
      </c>
      <c r="F2" s="6" t="inlineStr">
        <is>
          <t>symptom</t>
        </is>
      </c>
      <c r="G2" s="6" t="inlineStr">
        <is>
          <t>diagnosis</t>
        </is>
      </c>
      <c r="H2" s="6" t="inlineStr">
        <is>
          <t>product</t>
        </is>
      </c>
      <c r="I2" s="6" t="inlineStr">
        <is>
          <t>dose</t>
        </is>
      </c>
      <c r="J2" s="6" t="inlineStr">
        <is>
          <t>animals_treated</t>
        </is>
      </c>
      <c r="K2" s="6" t="inlineStr">
        <is>
          <t>cost</t>
        </is>
      </c>
      <c r="L2" s="6" t="inlineStr">
        <is>
          <t>withdrawal_until</t>
        </is>
      </c>
      <c r="M2" s="6" t="inlineStr">
        <is>
          <t>outcome</t>
        </is>
      </c>
      <c r="N2" s="6" t="inlineStr">
        <is>
          <t>administered_by</t>
        </is>
      </c>
    </row>
    <row r="3">
      <c r="A3" s="8" t="inlineStr">
        <is>
          <t>2026-08-20</t>
        </is>
      </c>
      <c r="B3" s="7" t="inlineStr">
        <is>
          <t>poultry</t>
        </is>
      </c>
      <c r="C3" s="7" t="inlineStr">
        <is>
          <t>BRO-24</t>
        </is>
      </c>
      <c r="D3" s="7" t="n"/>
      <c r="E3" s="7" t="inlineStr">
        <is>
          <t>Vaccination</t>
        </is>
      </c>
      <c r="F3" s="7" t="inlineStr">
        <is>
          <t>None</t>
        </is>
      </c>
      <c r="G3" s="7" t="n"/>
      <c r="H3" s="7" t="inlineStr">
        <is>
          <t>Newcastle LaSota</t>
        </is>
      </c>
      <c r="I3" s="7" t="inlineStr">
        <is>
          <t>1 drop/bird</t>
        </is>
      </c>
      <c r="J3" s="7" t="n">
        <v>500</v>
      </c>
      <c r="K3" s="7" t="n">
        <v>18</v>
      </c>
      <c r="L3" s="7" t="n"/>
      <c r="M3" s="7" t="inlineStr">
        <is>
          <t>Ongoing</t>
        </is>
      </c>
      <c r="N3" s="7" t="inlineStr">
        <is>
          <t>S02</t>
        </is>
      </c>
    </row>
    <row r="4">
      <c r="A4" t="inlineStr">
        <is>
          <t>2026-04-25</t>
        </is>
      </c>
      <c r="B4" t="inlineStr">
        <is>
          <t>piggery</t>
        </is>
      </c>
      <c r="C4" t="inlineStr">
        <is>
          <t>PIG-B02</t>
        </is>
      </c>
      <c r="E4" t="inlineStr">
        <is>
          <t>Inspection</t>
        </is>
      </c>
      <c r="F4" t="inlineStr">
        <is>
          <t>Diarrhoea</t>
        </is>
      </c>
      <c r="G4" t="inlineStr">
        <is>
          <t>Suspected bacterial enteritis / respiratory complex</t>
        </is>
      </c>
      <c r="J4" t="n">
        <v>26</v>
      </c>
      <c r="K4" t="n">
        <v>15</v>
      </c>
      <c r="M4" t="inlineStr">
        <is>
          <t>Ongoing</t>
        </is>
      </c>
      <c r="N4" t="inlineStr">
        <is>
          <t>S01</t>
        </is>
      </c>
    </row>
    <row r="5">
      <c r="A5" t="inlineStr">
        <is>
          <t>2026-04-27</t>
        </is>
      </c>
      <c r="B5" t="inlineStr">
        <is>
          <t>piggery</t>
        </is>
      </c>
      <c r="C5" t="inlineStr">
        <is>
          <t>PIG-B02</t>
        </is>
      </c>
      <c r="E5" t="inlineStr">
        <is>
          <t>Treatment</t>
        </is>
      </c>
      <c r="F5" t="inlineStr">
        <is>
          <t>Off-feed</t>
        </is>
      </c>
      <c r="G5" t="inlineStr">
        <is>
          <t>Bacterial enteritis / respiratory complex</t>
        </is>
      </c>
      <c r="H5" t="inlineStr">
        <is>
          <t>Oxytetracycline LA</t>
        </is>
      </c>
      <c r="I5" t="inlineStr">
        <is>
          <t>1ml/10kg IM</t>
        </is>
      </c>
      <c r="J5" t="n">
        <v>6</v>
      </c>
      <c r="K5" t="n">
        <v>34.98</v>
      </c>
      <c r="L5" t="inlineStr">
        <is>
          <t>2026-05-18</t>
        </is>
      </c>
      <c r="M5" t="inlineStr">
        <is>
          <t>Died</t>
        </is>
      </c>
      <c r="N5" t="inlineStr">
        <is>
          <t>S01</t>
        </is>
      </c>
    </row>
    <row r="6">
      <c r="A6" t="inlineStr">
        <is>
          <t>2026-04-29</t>
        </is>
      </c>
      <c r="B6" t="inlineStr">
        <is>
          <t>piggery</t>
        </is>
      </c>
      <c r="C6" t="inlineStr">
        <is>
          <t>PIG-B02</t>
        </is>
      </c>
      <c r="E6" t="inlineStr">
        <is>
          <t>Treatment</t>
        </is>
      </c>
      <c r="F6" t="inlineStr">
        <is>
          <t>Off-feed</t>
        </is>
      </c>
      <c r="G6" t="inlineStr">
        <is>
          <t>Bacterial enteritis / respiratory complex</t>
        </is>
      </c>
      <c r="H6" t="inlineStr">
        <is>
          <t>Oxytetracycline LA</t>
        </is>
      </c>
      <c r="I6" t="inlineStr">
        <is>
          <t>1ml/10kg IM</t>
        </is>
      </c>
      <c r="J6" t="n">
        <v>7</v>
      </c>
      <c r="K6" t="n">
        <v>40.47</v>
      </c>
      <c r="L6" t="inlineStr">
        <is>
          <t>2026-05-20</t>
        </is>
      </c>
      <c r="M6" t="inlineStr">
        <is>
          <t>Died</t>
        </is>
      </c>
      <c r="N6" t="inlineStr">
        <is>
          <t>S01</t>
        </is>
      </c>
    </row>
    <row r="7">
      <c r="A7" t="inlineStr">
        <is>
          <t>2026-05-01</t>
        </is>
      </c>
      <c r="B7" t="inlineStr">
        <is>
          <t>piggery</t>
        </is>
      </c>
      <c r="C7" t="inlineStr">
        <is>
          <t>PIG-B02</t>
        </is>
      </c>
      <c r="E7" t="inlineStr">
        <is>
          <t>Treatment</t>
        </is>
      </c>
      <c r="F7" t="inlineStr">
        <is>
          <t>Coughing</t>
        </is>
      </c>
      <c r="G7" t="inlineStr">
        <is>
          <t>Bacterial enteritis / respiratory complex</t>
        </is>
      </c>
      <c r="H7" t="inlineStr">
        <is>
          <t>Oxytetracycline LA</t>
        </is>
      </c>
      <c r="I7" t="inlineStr">
        <is>
          <t>1ml/10kg IM</t>
        </is>
      </c>
      <c r="J7" t="n">
        <v>8</v>
      </c>
      <c r="K7" t="n">
        <v>36.77</v>
      </c>
      <c r="L7" t="inlineStr">
        <is>
          <t>2026-05-22</t>
        </is>
      </c>
      <c r="M7" t="inlineStr">
        <is>
          <t>Ongoing</t>
        </is>
      </c>
      <c r="N7" t="inlineStr">
        <is>
          <t>S01</t>
        </is>
      </c>
    </row>
    <row r="8">
      <c r="A8" t="inlineStr">
        <is>
          <t>2026-05-05</t>
        </is>
      </c>
      <c r="B8" t="inlineStr">
        <is>
          <t>piggery</t>
        </is>
      </c>
      <c r="C8" t="inlineStr">
        <is>
          <t>PIG-B02</t>
        </is>
      </c>
      <c r="E8" t="inlineStr">
        <is>
          <t>Treatment</t>
        </is>
      </c>
      <c r="F8" t="inlineStr">
        <is>
          <t>Diarrhoea</t>
        </is>
      </c>
      <c r="G8" t="inlineStr">
        <is>
          <t>Bacterial enteritis / respiratory complex</t>
        </is>
      </c>
      <c r="H8" t="inlineStr">
        <is>
          <t>Oxytetracycline LA</t>
        </is>
      </c>
      <c r="I8" t="inlineStr">
        <is>
          <t>1ml/10kg IM</t>
        </is>
      </c>
      <c r="J8" t="n">
        <v>14</v>
      </c>
      <c r="K8" t="n">
        <v>41.33</v>
      </c>
      <c r="L8" t="inlineStr">
        <is>
          <t>2026-05-26</t>
        </is>
      </c>
      <c r="M8" t="inlineStr">
        <is>
          <t>Recovered</t>
        </is>
      </c>
      <c r="N8" t="inlineStr">
        <is>
          <t>S01</t>
        </is>
      </c>
    </row>
    <row r="9">
      <c r="A9" t="inlineStr">
        <is>
          <t>2025-11-09</t>
        </is>
      </c>
      <c r="B9" t="inlineStr">
        <is>
          <t>piggery</t>
        </is>
      </c>
      <c r="C9" t="inlineStr">
        <is>
          <t>PIG-B01</t>
        </is>
      </c>
      <c r="E9" t="inlineStr">
        <is>
          <t>Vaccination</t>
        </is>
      </c>
      <c r="F9" t="inlineStr">
        <is>
          <t>None</t>
        </is>
      </c>
      <c r="H9" t="inlineStr">
        <is>
          <t>Erysipelas + Parvo combo</t>
        </is>
      </c>
      <c r="I9" t="inlineStr">
        <is>
          <t>2ml IM</t>
        </is>
      </c>
      <c r="J9" t="n">
        <v>10</v>
      </c>
      <c r="K9" t="n">
        <v>9</v>
      </c>
      <c r="M9" t="inlineStr">
        <is>
          <t>Recovered</t>
        </is>
      </c>
      <c r="N9" t="inlineStr">
        <is>
          <t>S01</t>
        </is>
      </c>
    </row>
    <row r="10">
      <c r="A10" t="inlineStr">
        <is>
          <t>2026-03-09</t>
        </is>
      </c>
      <c r="B10" t="inlineStr">
        <is>
          <t>piggery</t>
        </is>
      </c>
      <c r="C10" t="inlineStr">
        <is>
          <t>PIG-B02</t>
        </is>
      </c>
      <c r="E10" t="inlineStr">
        <is>
          <t>Vaccination</t>
        </is>
      </c>
      <c r="F10" t="inlineStr">
        <is>
          <t>None</t>
        </is>
      </c>
      <c r="H10" t="inlineStr">
        <is>
          <t>Erysipelas + Parvo combo</t>
        </is>
      </c>
      <c r="I10" t="inlineStr">
        <is>
          <t>2ml IM</t>
        </is>
      </c>
      <c r="J10" t="n">
        <v>26</v>
      </c>
      <c r="K10" t="n">
        <v>23.4</v>
      </c>
      <c r="M10" t="inlineStr">
        <is>
          <t>Recovered</t>
        </is>
      </c>
      <c r="N10" t="inlineStr">
        <is>
          <t>S01</t>
        </is>
      </c>
    </row>
    <row r="11">
      <c r="A11" t="inlineStr">
        <is>
          <t>2025-11-17</t>
        </is>
      </c>
      <c r="B11" t="inlineStr">
        <is>
          <t>piggery</t>
        </is>
      </c>
      <c r="C11" t="inlineStr">
        <is>
          <t>PIG-B03</t>
        </is>
      </c>
      <c r="E11" t="inlineStr">
        <is>
          <t>Vaccination</t>
        </is>
      </c>
      <c r="F11" t="inlineStr">
        <is>
          <t>None</t>
        </is>
      </c>
      <c r="H11" t="inlineStr">
        <is>
          <t>Erysipelas + Parvo combo</t>
        </is>
      </c>
      <c r="I11" t="inlineStr">
        <is>
          <t>2ml IM</t>
        </is>
      </c>
      <c r="J11" t="n">
        <v>24</v>
      </c>
      <c r="K11" t="n">
        <v>21.6</v>
      </c>
      <c r="M11" t="inlineStr">
        <is>
          <t>Recovered</t>
        </is>
      </c>
      <c r="N11" t="inlineStr">
        <is>
          <t>S01</t>
        </is>
      </c>
    </row>
    <row r="12">
      <c r="A12" t="inlineStr">
        <is>
          <t>2026-05-19</t>
        </is>
      </c>
      <c r="B12" t="inlineStr">
        <is>
          <t>piggery</t>
        </is>
      </c>
      <c r="C12" t="inlineStr">
        <is>
          <t>PIG-B04</t>
        </is>
      </c>
      <c r="E12" t="inlineStr">
        <is>
          <t>Vaccination</t>
        </is>
      </c>
      <c r="F12" t="inlineStr">
        <is>
          <t>None</t>
        </is>
      </c>
      <c r="H12" t="inlineStr">
        <is>
          <t>Erysipelas + Parvo combo</t>
        </is>
      </c>
      <c r="I12" t="inlineStr">
        <is>
          <t>2ml IM</t>
        </is>
      </c>
      <c r="J12" t="n">
        <v>12</v>
      </c>
      <c r="K12" t="n">
        <v>10.8</v>
      </c>
      <c r="M12" t="inlineStr">
        <is>
          <t>Recovered</t>
        </is>
      </c>
      <c r="N12" t="inlineStr">
        <is>
          <t>S01</t>
        </is>
      </c>
    </row>
    <row r="13">
      <c r="A13" t="inlineStr">
        <is>
          <t>2026-01-10</t>
        </is>
      </c>
      <c r="B13" t="inlineStr">
        <is>
          <t>poultry</t>
        </is>
      </c>
      <c r="C13" t="inlineStr">
        <is>
          <t>BRO-P02</t>
        </is>
      </c>
      <c r="E13" t="inlineStr">
        <is>
          <t>Inspection</t>
        </is>
      </c>
      <c r="F13" t="inlineStr">
        <is>
          <t>Off-feed</t>
        </is>
      </c>
      <c r="G13" t="inlineStr">
        <is>
          <t>Heat stress</t>
        </is>
      </c>
      <c r="J13" t="n">
        <v>520</v>
      </c>
      <c r="K13" t="n">
        <v>0</v>
      </c>
      <c r="M13" t="inlineStr">
        <is>
          <t>Ongoing</t>
        </is>
      </c>
      <c r="N13" t="inlineStr">
        <is>
          <t>S02</t>
        </is>
      </c>
    </row>
    <row r="14">
      <c r="A14" t="inlineStr">
        <is>
          <t>2025-10-17</t>
        </is>
      </c>
      <c r="B14" t="inlineStr">
        <is>
          <t>poultry</t>
        </is>
      </c>
      <c r="C14" t="inlineStr">
        <is>
          <t>BRO-P01</t>
        </is>
      </c>
      <c r="E14" t="inlineStr">
        <is>
          <t>Vaccination</t>
        </is>
      </c>
      <c r="F14" t="inlineStr">
        <is>
          <t>None</t>
        </is>
      </c>
      <c r="H14" t="inlineStr">
        <is>
          <t>Newcastle LaSota</t>
        </is>
      </c>
      <c r="I14" t="inlineStr">
        <is>
          <t>1 drop/bird</t>
        </is>
      </c>
      <c r="J14" t="n">
        <v>500</v>
      </c>
      <c r="K14" t="n">
        <v>17.5</v>
      </c>
      <c r="M14" t="inlineStr">
        <is>
          <t>Ongoing</t>
        </is>
      </c>
      <c r="N14" t="inlineStr">
        <is>
          <t>S02</t>
        </is>
      </c>
    </row>
    <row r="15">
      <c r="A15" t="inlineStr">
        <is>
          <t>2025-12-27</t>
        </is>
      </c>
      <c r="B15" t="inlineStr">
        <is>
          <t>poultry</t>
        </is>
      </c>
      <c r="C15" t="inlineStr">
        <is>
          <t>BRO-P02</t>
        </is>
      </c>
      <c r="E15" t="inlineStr">
        <is>
          <t>Vaccination</t>
        </is>
      </c>
      <c r="F15" t="inlineStr">
        <is>
          <t>None</t>
        </is>
      </c>
      <c r="H15" t="inlineStr">
        <is>
          <t>Newcastle LaSota</t>
        </is>
      </c>
      <c r="I15" t="inlineStr">
        <is>
          <t>1 drop/bird</t>
        </is>
      </c>
      <c r="J15" t="n">
        <v>520</v>
      </c>
      <c r="K15" t="n">
        <v>18.2</v>
      </c>
      <c r="M15" t="inlineStr">
        <is>
          <t>Ongoing</t>
        </is>
      </c>
      <c r="N15" t="inlineStr">
        <is>
          <t>S02</t>
        </is>
      </c>
    </row>
    <row r="16">
      <c r="A16" t="inlineStr">
        <is>
          <t>2026-03-12</t>
        </is>
      </c>
      <c r="B16" t="inlineStr">
        <is>
          <t>poultry</t>
        </is>
      </c>
      <c r="C16" t="inlineStr">
        <is>
          <t>BRO-P03</t>
        </is>
      </c>
      <c r="E16" t="inlineStr">
        <is>
          <t>Vaccination</t>
        </is>
      </c>
      <c r="F16" t="inlineStr">
        <is>
          <t>None</t>
        </is>
      </c>
      <c r="H16" t="inlineStr">
        <is>
          <t>Newcastle LaSota</t>
        </is>
      </c>
      <c r="I16" t="inlineStr">
        <is>
          <t>1 drop/bird</t>
        </is>
      </c>
      <c r="J16" t="n">
        <v>500</v>
      </c>
      <c r="K16" t="n">
        <v>17.5</v>
      </c>
      <c r="M16" t="inlineStr">
        <is>
          <t>Ongoing</t>
        </is>
      </c>
      <c r="N16" t="inlineStr">
        <is>
          <t>S02</t>
        </is>
      </c>
    </row>
    <row r="17">
      <c r="A17" t="inlineStr">
        <is>
          <t>2026-08-11</t>
        </is>
      </c>
      <c r="B17" t="inlineStr">
        <is>
          <t>poultry</t>
        </is>
      </c>
      <c r="C17" t="inlineStr">
        <is>
          <t>BRO-P04</t>
        </is>
      </c>
      <c r="E17" t="inlineStr">
        <is>
          <t>Vaccination</t>
        </is>
      </c>
      <c r="F17" t="inlineStr">
        <is>
          <t>None</t>
        </is>
      </c>
      <c r="H17" t="inlineStr">
        <is>
          <t>Newcastle LaSota</t>
        </is>
      </c>
      <c r="I17" t="inlineStr">
        <is>
          <t>1 drop/bird</t>
        </is>
      </c>
      <c r="J17" t="n">
        <v>510</v>
      </c>
      <c r="K17" t="n">
        <v>17.85</v>
      </c>
      <c r="M17" t="inlineStr">
        <is>
          <t>Ongoing</t>
        </is>
      </c>
      <c r="N17" t="inlineStr">
        <is>
          <t>S02</t>
        </is>
      </c>
    </row>
  </sheetData>
  <mergeCells count="1">
    <mergeCell ref="A1:N1"/>
  </mergeCells>
  <dataValidations count="4">
    <dataValidation sqref="B3:B500" showDropDown="0" showInputMessage="0" showErrorMessage="1" allowBlank="1" errorTitle="Invalid entry" error="Please choose a value from the list." type="list">
      <formula1>LIST_DOMAIN</formula1>
      <formula2>0</formula2>
    </dataValidation>
    <dataValidation sqref="E3:E500" showDropDown="0" showInputMessage="0" showErrorMessage="1" allowBlank="1" errorTitle="Invalid entry" error="Please choose a value from the list." type="list">
      <formula1>LIST_HEALTH_EVENT</formula1>
      <formula2>0</formula2>
    </dataValidation>
    <dataValidation sqref="F3:F500" showDropDown="0" showInputMessage="0" showErrorMessage="1" allowBlank="1" errorTitle="Invalid entry" error="Please choose a value from the list." type="list">
      <formula1>LIST_SYMPTOM</formula1>
      <formula2>0</formula2>
    </dataValidation>
    <dataValidation sqref="M3:M500" showDropDown="0" showInputMessage="0" showErrorMessage="1" allowBlank="1" errorTitle="Invalid entry" error="Please choose a value from the list." type="list">
      <formula1>LIST_OUTCOME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C0504D"/>
    <outlinePr summaryBelow="1" summaryRight="1"/>
    <pageSetUpPr/>
  </sheetPr>
  <dimension ref="A1:I7"/>
  <sheetViews>
    <sheetView zoomScaleNormal="100" workbookViewId="0">
      <pane ySplit="2" topLeftCell="A3" activePane="bottomLeft" state="frozen"/>
      <selection pane="bottomLeft" activeCell="A1" sqref="A1:I1"/>
    </sheetView>
  </sheetViews>
  <sheetFormatPr baseColWidth="10" defaultColWidth="8.6640625" defaultRowHeight="15"/>
  <cols>
    <col width="14" customWidth="1" min="1" max="4"/>
    <col width="15" customWidth="1" min="5" max="5"/>
    <col width="16" customWidth="1" min="6" max="6"/>
    <col width="14" customWidth="1" min="7" max="7"/>
    <col width="22" customWidth="1" min="8" max="8"/>
    <col width="14" customWidth="1" min="9" max="9"/>
  </cols>
  <sheetData>
    <row r="1">
      <c r="A1" s="1" t="inlineStr">
        <is>
          <t>PURPOSE: Batch register — the anchor every piggery row points at.   |   CADENCE: On batch creation   |   ENTERED BY: Supervisor</t>
        </is>
      </c>
    </row>
    <row r="2">
      <c r="A2" s="9" t="inlineStr">
        <is>
          <t>batch_code</t>
        </is>
      </c>
      <c r="B2" s="9" t="inlineStr">
        <is>
          <t>pen</t>
        </is>
      </c>
      <c r="C2" s="9" t="inlineStr">
        <is>
          <t>breed</t>
        </is>
      </c>
      <c r="D2" s="9" t="inlineStr">
        <is>
          <t>start_date</t>
        </is>
      </c>
      <c r="E2" s="9" t="inlineStr">
        <is>
          <t>start_count</t>
        </is>
      </c>
      <c r="F2" s="9" t="inlineStr">
        <is>
          <t>start_avg_kg</t>
        </is>
      </c>
      <c r="G2" s="9" t="inlineStr">
        <is>
          <t>source</t>
        </is>
      </c>
      <c r="H2" s="9" t="inlineStr">
        <is>
          <t>target_market_date</t>
        </is>
      </c>
      <c r="I2" s="9" t="inlineStr">
        <is>
          <t>status</t>
        </is>
      </c>
    </row>
    <row r="3">
      <c r="A3" s="7" t="inlineStr">
        <is>
          <t>PIG-B07</t>
        </is>
      </c>
      <c r="B3" s="7" t="inlineStr">
        <is>
          <t>Pen 3</t>
        </is>
      </c>
      <c r="C3" s="7" t="inlineStr">
        <is>
          <t>Large White</t>
        </is>
      </c>
      <c r="D3" s="8" t="inlineStr">
        <is>
          <t>2026-06-01</t>
        </is>
      </c>
      <c r="E3" s="7" t="n">
        <v>24</v>
      </c>
      <c r="F3" s="7" t="n">
        <v>8.5</v>
      </c>
      <c r="G3" s="7" t="inlineStr">
        <is>
          <t>Own farrowing</t>
        </is>
      </c>
      <c r="H3" s="8" t="inlineStr">
        <is>
          <t>2026-10-15</t>
        </is>
      </c>
      <c r="I3" s="7" t="inlineStr">
        <is>
          <t>Active</t>
        </is>
      </c>
    </row>
    <row r="4">
      <c r="A4" t="inlineStr">
        <is>
          <t>PIG-B01</t>
        </is>
      </c>
      <c r="B4" t="inlineStr">
        <is>
          <t>Pen 1</t>
        </is>
      </c>
      <c r="C4" t="inlineStr">
        <is>
          <t>Large White</t>
        </is>
      </c>
      <c r="D4" t="inlineStr">
        <is>
          <t>2025-11-02</t>
        </is>
      </c>
      <c r="E4" t="n">
        <v>10</v>
      </c>
      <c r="F4" t="n">
        <v>7</v>
      </c>
      <c r="G4" t="inlineStr">
        <is>
          <t>Own farrowing</t>
        </is>
      </c>
      <c r="H4" t="inlineStr">
        <is>
          <t>2026-02-22</t>
        </is>
      </c>
      <c r="I4" t="inlineStr">
        <is>
          <t>Sold</t>
        </is>
      </c>
    </row>
    <row r="5">
      <c r="A5" t="inlineStr">
        <is>
          <t>PIG-B02</t>
        </is>
      </c>
      <c r="B5" t="inlineStr">
        <is>
          <t>Pen 1</t>
        </is>
      </c>
      <c r="C5" t="inlineStr">
        <is>
          <t>Duroc cross</t>
        </is>
      </c>
      <c r="D5" t="inlineStr">
        <is>
          <t>2026-03-02</t>
        </is>
      </c>
      <c r="E5" t="n">
        <v>26</v>
      </c>
      <c r="F5" t="n">
        <v>9</v>
      </c>
      <c r="G5" t="inlineStr">
        <is>
          <t>Bought-in</t>
        </is>
      </c>
      <c r="H5" t="inlineStr">
        <is>
          <t>2026-08-15</t>
        </is>
      </c>
      <c r="I5" t="inlineStr">
        <is>
          <t>Sold</t>
        </is>
      </c>
    </row>
    <row r="6">
      <c r="A6" t="inlineStr">
        <is>
          <t>PIG-B03</t>
        </is>
      </c>
      <c r="B6" t="inlineStr">
        <is>
          <t>Pen 2</t>
        </is>
      </c>
      <c r="C6" t="inlineStr">
        <is>
          <t>Landrace</t>
        </is>
      </c>
      <c r="D6" t="inlineStr">
        <is>
          <t>2025-11-10</t>
        </is>
      </c>
      <c r="E6" t="n">
        <v>24</v>
      </c>
      <c r="F6" t="n">
        <v>8.199999999999999</v>
      </c>
      <c r="G6" t="inlineStr">
        <is>
          <t>Bought-in</t>
        </is>
      </c>
      <c r="H6" t="inlineStr">
        <is>
          <t>2026-03-20</t>
        </is>
      </c>
      <c r="I6" t="inlineStr">
        <is>
          <t>Sold</t>
        </is>
      </c>
    </row>
    <row r="7">
      <c r="A7" t="inlineStr">
        <is>
          <t>PIG-B04</t>
        </is>
      </c>
      <c r="B7" t="inlineStr">
        <is>
          <t>Pen 2</t>
        </is>
      </c>
      <c r="C7" t="inlineStr">
        <is>
          <t>Duroc cross</t>
        </is>
      </c>
      <c r="D7" t="inlineStr">
        <is>
          <t>2026-05-12</t>
        </is>
      </c>
      <c r="E7" t="n">
        <v>12</v>
      </c>
      <c r="F7" t="n">
        <v>7.2</v>
      </c>
      <c r="G7" t="inlineStr">
        <is>
          <t>Own farrowing</t>
        </is>
      </c>
      <c r="H7" t="inlineStr">
        <is>
          <t>2026-09-20</t>
        </is>
      </c>
      <c r="I7" t="inlineStr">
        <is>
          <t>Active</t>
        </is>
      </c>
    </row>
  </sheetData>
  <mergeCells count="1">
    <mergeCell ref="A1:I1"/>
  </mergeCells>
  <dataValidations count="3">
    <dataValidation sqref="C3:C500" showDropDown="0" showInputMessage="0" showErrorMessage="1" allowBlank="1" errorTitle="Invalid entry" error="Please choose a value from the list." type="list">
      <formula1>LIST_BREED_PIG</formula1>
      <formula2>0</formula2>
    </dataValidation>
    <dataValidation sqref="G3:G500" showDropDown="0" showInputMessage="0" showErrorMessage="1" allowBlank="1" errorTitle="Invalid entry" error="Please choose a value from the list." type="list">
      <formula1>LIST_SOURCE</formula1>
      <formula2>0</formula2>
    </dataValidation>
    <dataValidation sqref="I3:I500" showDropDown="0" showInputMessage="0" showErrorMessage="1" allowBlank="1" errorTitle="Invalid entry" error="Please choose a value from the list." type="list">
      <formula1>LIST_STATUS_BATCH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C0504D"/>
    <outlinePr summaryBelow="1" summaryRight="1"/>
    <pageSetUpPr/>
  </sheetPr>
  <dimension ref="A1:M532"/>
  <sheetViews>
    <sheetView zoomScaleNormal="100" workbookViewId="0">
      <pane ySplit="2" topLeftCell="A3" activePane="bottomLeft" state="frozen"/>
      <selection pane="bottomLeft" activeCell="A1" sqref="A1:M1"/>
    </sheetView>
  </sheetViews>
  <sheetFormatPr baseColWidth="10" defaultColWidth="8.6640625" defaultRowHeight="15"/>
  <cols>
    <col width="14" customWidth="1" min="1" max="5"/>
    <col width="16" customWidth="1" min="6" max="6"/>
    <col width="14" customWidth="1" min="7" max="8"/>
    <col width="17" customWidth="1" min="9" max="9"/>
    <col width="14" customWidth="1" min="10" max="10"/>
    <col width="17" customWidth="1" min="11" max="11"/>
    <col width="14" customWidth="1" min="12" max="12"/>
    <col width="15" customWidth="1" min="13" max="13"/>
  </cols>
  <sheetData>
    <row r="1">
      <c r="A1" s="1" t="inlineStr">
        <is>
          <t>PURPOSE: Feed, water, mortality, headcount. The engine of FCR, ADG and mortality analytics.   |   CADENCE: Daily, one row per pen   |   ENTERED BY: Pig attendant</t>
        </is>
      </c>
    </row>
    <row r="2">
      <c r="A2" s="9" t="inlineStr">
        <is>
          <t>date</t>
        </is>
      </c>
      <c r="B2" s="9" t="inlineStr">
        <is>
          <t>batch_code</t>
        </is>
      </c>
      <c r="C2" s="9" t="inlineStr">
        <is>
          <t>pen</t>
        </is>
      </c>
      <c r="D2" s="9" t="inlineStr">
        <is>
          <t>feed_type</t>
        </is>
      </c>
      <c r="E2" s="9" t="inlineStr">
        <is>
          <t>feed_kg</t>
        </is>
      </c>
      <c r="F2" s="9" t="inlineStr">
        <is>
          <t>water_litres</t>
        </is>
      </c>
      <c r="G2" s="9" t="inlineStr">
        <is>
          <t>deaths</t>
        </is>
      </c>
      <c r="H2" s="9" t="inlineStr">
        <is>
          <t>culls</t>
        </is>
      </c>
      <c r="I2" s="9" t="inlineStr">
        <is>
          <t>closing_count</t>
        </is>
      </c>
      <c r="J2" s="9" t="inlineStr">
        <is>
          <t>pen_temp_c</t>
        </is>
      </c>
      <c r="K2" s="9" t="inlineStr">
        <is>
          <t>pen_condition</t>
        </is>
      </c>
      <c r="L2" s="9" t="inlineStr">
        <is>
          <t>notes</t>
        </is>
      </c>
      <c r="M2" s="9" t="inlineStr">
        <is>
          <t>recorded_by</t>
        </is>
      </c>
    </row>
    <row r="3">
      <c r="A3" s="8" t="inlineStr">
        <is>
          <t>2026-09-01</t>
        </is>
      </c>
      <c r="B3" s="7" t="inlineStr">
        <is>
          <t>PIG-B07</t>
        </is>
      </c>
      <c r="C3" s="7" t="inlineStr">
        <is>
          <t>Pen 3</t>
        </is>
      </c>
      <c r="D3" s="7" t="inlineStr">
        <is>
          <t>Pig grower</t>
        </is>
      </c>
      <c r="E3" s="7" t="n">
        <v>42</v>
      </c>
      <c r="F3" s="7" t="n">
        <v>110</v>
      </c>
      <c r="G3" s="7" t="n">
        <v>0</v>
      </c>
      <c r="H3" s="7" t="n">
        <v>0</v>
      </c>
      <c r="I3" s="7">
        <f>IFERROR(INDEX(P1_PIG_BATCHES!$E:$E,MATCH(B3,P1_PIG_BATCHES!$A:$A,0))-G3-H3,0)</f>
        <v/>
      </c>
      <c r="J3" s="7" t="n">
        <v>24</v>
      </c>
      <c r="K3" s="7" t="inlineStr">
        <is>
          <t>Dry</t>
        </is>
      </c>
      <c r="L3" s="7" t="n"/>
      <c r="M3" s="7" t="inlineStr">
        <is>
          <t>S01</t>
        </is>
      </c>
    </row>
    <row r="4">
      <c r="A4" t="inlineStr">
        <is>
          <t>2025-11-02</t>
        </is>
      </c>
      <c r="B4" t="inlineStr">
        <is>
          <t>PIG-B01</t>
        </is>
      </c>
      <c r="C4" t="inlineStr">
        <is>
          <t>Pen 1</t>
        </is>
      </c>
      <c r="D4" t="inlineStr">
        <is>
          <t>Pig starter</t>
        </is>
      </c>
      <c r="E4" t="n">
        <v>3.7</v>
      </c>
      <c r="F4" t="n">
        <v>9.6</v>
      </c>
      <c r="G4" t="n">
        <v>0</v>
      </c>
      <c r="H4" t="n">
        <v>0</v>
      </c>
      <c r="I4">
        <f>IFERROR(INDEX(P1_PIG_BATCHES!$E:$E,MATCH(B4,P1_PIG_BATCHES!$A:$A,0))-G4-H4,0)</f>
        <v/>
      </c>
      <c r="J4" t="n">
        <v>21.6</v>
      </c>
      <c r="K4" t="inlineStr">
        <is>
          <t>Dry</t>
        </is>
      </c>
      <c r="M4" t="inlineStr">
        <is>
          <t>S01</t>
        </is>
      </c>
    </row>
    <row r="5">
      <c r="A5" t="inlineStr">
        <is>
          <t>2025-11-03</t>
        </is>
      </c>
      <c r="B5" t="inlineStr">
        <is>
          <t>PIG-B01</t>
        </is>
      </c>
      <c r="C5" t="inlineStr">
        <is>
          <t>Pen 1</t>
        </is>
      </c>
      <c r="D5" t="inlineStr">
        <is>
          <t>Pig starter</t>
        </is>
      </c>
      <c r="E5" t="n">
        <v>3.7</v>
      </c>
      <c r="F5" t="n">
        <v>9.4</v>
      </c>
      <c r="G5" t="n">
        <v>0</v>
      </c>
      <c r="H5" t="n">
        <v>0</v>
      </c>
      <c r="I5">
        <f>IFERROR(INDEX(P1_PIG_BATCHES!$E:$E,MATCH(B5,P1_PIG_BATCHES!$A:$A,0))-G5-H5,0)</f>
        <v/>
      </c>
      <c r="J5" t="n">
        <v>24.2</v>
      </c>
      <c r="K5" t="inlineStr">
        <is>
          <t>Dry</t>
        </is>
      </c>
      <c r="M5" t="inlineStr">
        <is>
          <t>S01</t>
        </is>
      </c>
    </row>
    <row r="6">
      <c r="A6" t="inlineStr">
        <is>
          <t>2025-11-04</t>
        </is>
      </c>
      <c r="B6" t="inlineStr">
        <is>
          <t>PIG-B01</t>
        </is>
      </c>
      <c r="C6" t="inlineStr">
        <is>
          <t>Pen 1</t>
        </is>
      </c>
      <c r="D6" t="inlineStr">
        <is>
          <t>Pig starter</t>
        </is>
      </c>
      <c r="E6" t="n">
        <v>3.8</v>
      </c>
      <c r="F6" t="n">
        <v>9.199999999999999</v>
      </c>
      <c r="G6" t="n">
        <v>0</v>
      </c>
      <c r="H6" t="n">
        <v>0</v>
      </c>
      <c r="I6">
        <f>IFERROR(INDEX(P1_PIG_BATCHES!$E:$E,MATCH(B6,P1_PIG_BATCHES!$A:$A,0))-G6-H6,0)</f>
        <v/>
      </c>
      <c r="J6" t="n">
        <v>23.3</v>
      </c>
      <c r="K6" t="inlineStr">
        <is>
          <t>Dry</t>
        </is>
      </c>
      <c r="M6" t="inlineStr">
        <is>
          <t>S01</t>
        </is>
      </c>
    </row>
    <row r="7">
      <c r="A7" t="inlineStr">
        <is>
          <t>2025-11-05</t>
        </is>
      </c>
      <c r="B7" t="inlineStr">
        <is>
          <t>PIG-B01</t>
        </is>
      </c>
      <c r="C7" t="inlineStr">
        <is>
          <t>Pen 1</t>
        </is>
      </c>
      <c r="D7" t="inlineStr">
        <is>
          <t>Pig starter</t>
        </is>
      </c>
      <c r="E7" t="n">
        <v>4.2</v>
      </c>
      <c r="F7" t="n">
        <v>11.9</v>
      </c>
      <c r="G7" t="n">
        <v>0</v>
      </c>
      <c r="H7" t="n">
        <v>0</v>
      </c>
      <c r="I7">
        <f>IFERROR(INDEX(P1_PIG_BATCHES!$E:$E,MATCH(B7,P1_PIG_BATCHES!$A:$A,0))-G7-H7,0)</f>
        <v/>
      </c>
      <c r="J7" t="n">
        <v>25.1</v>
      </c>
      <c r="K7" t="inlineStr">
        <is>
          <t>Dry</t>
        </is>
      </c>
      <c r="M7" t="inlineStr">
        <is>
          <t>S01</t>
        </is>
      </c>
    </row>
    <row r="8">
      <c r="A8" t="inlineStr">
        <is>
          <t>2025-11-06</t>
        </is>
      </c>
      <c r="B8" t="inlineStr">
        <is>
          <t>PIG-B01</t>
        </is>
      </c>
      <c r="C8" t="inlineStr">
        <is>
          <t>Pen 1</t>
        </is>
      </c>
      <c r="D8" t="inlineStr">
        <is>
          <t>Pig starter</t>
        </is>
      </c>
      <c r="E8" t="n">
        <v>3.9</v>
      </c>
      <c r="F8" t="n">
        <v>10.7</v>
      </c>
      <c r="G8" t="n">
        <v>0</v>
      </c>
      <c r="H8" t="n">
        <v>0</v>
      </c>
      <c r="I8">
        <f>IFERROR(INDEX(P1_PIG_BATCHES!$E:$E,MATCH(B8,P1_PIG_BATCHES!$A:$A,0))-G8-H8,0)</f>
        <v/>
      </c>
      <c r="J8" t="n">
        <v>22.4</v>
      </c>
      <c r="K8" t="inlineStr">
        <is>
          <t>Dry</t>
        </is>
      </c>
      <c r="M8" t="inlineStr">
        <is>
          <t>S01</t>
        </is>
      </c>
    </row>
    <row r="9">
      <c r="A9" t="inlineStr">
        <is>
          <t>2025-11-07</t>
        </is>
      </c>
      <c r="B9" t="inlineStr">
        <is>
          <t>PIG-B01</t>
        </is>
      </c>
      <c r="C9" t="inlineStr">
        <is>
          <t>Pen 1</t>
        </is>
      </c>
      <c r="D9" t="inlineStr">
        <is>
          <t>Pig starter</t>
        </is>
      </c>
      <c r="E9" t="n">
        <v>4.7</v>
      </c>
      <c r="F9" t="n">
        <v>13.7</v>
      </c>
      <c r="G9" t="n">
        <v>0</v>
      </c>
      <c r="H9" t="n">
        <v>0</v>
      </c>
      <c r="I9">
        <f>IFERROR(INDEX(P1_PIG_BATCHES!$E:$E,MATCH(B9,P1_PIG_BATCHES!$A:$A,0))-G9-H9,0)</f>
        <v/>
      </c>
      <c r="J9" t="n">
        <v>26.7</v>
      </c>
      <c r="K9" t="inlineStr">
        <is>
          <t>Dry</t>
        </is>
      </c>
      <c r="M9" t="inlineStr">
        <is>
          <t>S01</t>
        </is>
      </c>
    </row>
    <row r="10">
      <c r="A10" t="inlineStr">
        <is>
          <t>2025-11-08</t>
        </is>
      </c>
      <c r="B10" t="inlineStr">
        <is>
          <t>PIG-B01</t>
        </is>
      </c>
      <c r="C10" t="inlineStr">
        <is>
          <t>Pen 1</t>
        </is>
      </c>
      <c r="D10" t="inlineStr">
        <is>
          <t>Pig starter</t>
        </is>
      </c>
      <c r="E10" t="n">
        <v>4.9</v>
      </c>
      <c r="F10" t="n">
        <v>11.4</v>
      </c>
      <c r="G10" t="n">
        <v>0</v>
      </c>
      <c r="H10" t="n">
        <v>0</v>
      </c>
      <c r="I10">
        <f>IFERROR(INDEX(P1_PIG_BATCHES!$E:$E,MATCH(B10,P1_PIG_BATCHES!$A:$A,0))-G10-H10,0)</f>
        <v/>
      </c>
      <c r="J10" t="n">
        <v>22.9</v>
      </c>
      <c r="K10" t="inlineStr">
        <is>
          <t>Dry</t>
        </is>
      </c>
      <c r="M10" t="inlineStr">
        <is>
          <t>S01</t>
        </is>
      </c>
    </row>
    <row r="11">
      <c r="A11" t="inlineStr">
        <is>
          <t>2025-11-09</t>
        </is>
      </c>
      <c r="B11" t="inlineStr">
        <is>
          <t>PIG-B01</t>
        </is>
      </c>
      <c r="C11" t="inlineStr">
        <is>
          <t>Pen 1</t>
        </is>
      </c>
      <c r="D11" t="inlineStr">
        <is>
          <t>Pig starter</t>
        </is>
      </c>
      <c r="E11" t="n">
        <v>5.2</v>
      </c>
      <c r="F11" t="n">
        <v>13.1</v>
      </c>
      <c r="G11" t="n">
        <v>0</v>
      </c>
      <c r="H11" t="n">
        <v>0</v>
      </c>
      <c r="I11">
        <f>IFERROR(INDEX(P1_PIG_BATCHES!$E:$E,MATCH(B11,P1_PIG_BATCHES!$A:$A,0))-G11-H11,0)</f>
        <v/>
      </c>
      <c r="J11" t="n">
        <v>24.7</v>
      </c>
      <c r="K11" t="inlineStr">
        <is>
          <t>Dry</t>
        </is>
      </c>
      <c r="M11" t="inlineStr">
        <is>
          <t>S01</t>
        </is>
      </c>
    </row>
    <row r="12">
      <c r="A12" t="inlineStr">
        <is>
          <t>2025-11-10</t>
        </is>
      </c>
      <c r="B12" t="inlineStr">
        <is>
          <t>PIG-B01</t>
        </is>
      </c>
      <c r="C12" t="inlineStr">
        <is>
          <t>Pen 1</t>
        </is>
      </c>
      <c r="D12" t="inlineStr">
        <is>
          <t>Pig starter</t>
        </is>
      </c>
      <c r="E12" t="n">
        <v>4.9</v>
      </c>
      <c r="F12" t="n">
        <v>12.3</v>
      </c>
      <c r="G12" t="n">
        <v>0</v>
      </c>
      <c r="H12" t="n">
        <v>0</v>
      </c>
      <c r="I12">
        <f>IFERROR(INDEX(P1_PIG_BATCHES!$E:$E,MATCH(B12,P1_PIG_BATCHES!$A:$A,0))-G12-H12,0)</f>
        <v/>
      </c>
      <c r="J12" t="n">
        <v>26.1</v>
      </c>
      <c r="K12" t="inlineStr">
        <is>
          <t>Dry</t>
        </is>
      </c>
      <c r="M12" t="inlineStr">
        <is>
          <t>S01</t>
        </is>
      </c>
    </row>
    <row r="13">
      <c r="A13" t="inlineStr">
        <is>
          <t>2025-11-11</t>
        </is>
      </c>
      <c r="B13" t="inlineStr">
        <is>
          <t>PIG-B01</t>
        </is>
      </c>
      <c r="C13" t="inlineStr">
        <is>
          <t>Pen 1</t>
        </is>
      </c>
      <c r="D13" t="inlineStr">
        <is>
          <t>Pig starter</t>
        </is>
      </c>
      <c r="E13" t="n">
        <v>5.6</v>
      </c>
      <c r="F13" t="n">
        <v>16</v>
      </c>
      <c r="G13" t="n">
        <v>0</v>
      </c>
      <c r="H13" t="n">
        <v>0</v>
      </c>
      <c r="I13">
        <f>IFERROR(INDEX(P1_PIG_BATCHES!$E:$E,MATCH(B13,P1_PIG_BATCHES!$A:$A,0))-G13-H13,0)</f>
        <v/>
      </c>
      <c r="J13" t="n">
        <v>25.7</v>
      </c>
      <c r="K13" t="inlineStr">
        <is>
          <t>Dry</t>
        </is>
      </c>
      <c r="M13" t="inlineStr">
        <is>
          <t>S01</t>
        </is>
      </c>
    </row>
    <row r="14">
      <c r="A14" t="inlineStr">
        <is>
          <t>2025-11-12</t>
        </is>
      </c>
      <c r="B14" t="inlineStr">
        <is>
          <t>PIG-B01</t>
        </is>
      </c>
      <c r="C14" t="inlineStr">
        <is>
          <t>Pen 1</t>
        </is>
      </c>
      <c r="D14" t="inlineStr">
        <is>
          <t>Pig starter</t>
        </is>
      </c>
      <c r="E14" t="n">
        <v>5.6</v>
      </c>
      <c r="F14" t="n">
        <v>15.2</v>
      </c>
      <c r="G14" t="n">
        <v>0</v>
      </c>
      <c r="H14" t="n">
        <v>0</v>
      </c>
      <c r="I14">
        <f>IFERROR(INDEX(P1_PIG_BATCHES!$E:$E,MATCH(B14,P1_PIG_BATCHES!$A:$A,0))-G14-H14,0)</f>
        <v/>
      </c>
      <c r="J14" t="n">
        <v>23.4</v>
      </c>
      <c r="K14" t="inlineStr">
        <is>
          <t>Dry</t>
        </is>
      </c>
      <c r="M14" t="inlineStr">
        <is>
          <t>S01</t>
        </is>
      </c>
    </row>
    <row r="15">
      <c r="A15" t="inlineStr">
        <is>
          <t>2025-11-13</t>
        </is>
      </c>
      <c r="B15" t="inlineStr">
        <is>
          <t>PIG-B01</t>
        </is>
      </c>
      <c r="C15" t="inlineStr">
        <is>
          <t>Pen 1</t>
        </is>
      </c>
      <c r="D15" t="inlineStr">
        <is>
          <t>Pig starter</t>
        </is>
      </c>
      <c r="E15" t="n">
        <v>5.6</v>
      </c>
      <c r="F15" t="n">
        <v>13.2</v>
      </c>
      <c r="G15" t="n">
        <v>0</v>
      </c>
      <c r="H15" t="n">
        <v>0</v>
      </c>
      <c r="I15">
        <f>IFERROR(INDEX(P1_PIG_BATCHES!$E:$E,MATCH(B15,P1_PIG_BATCHES!$A:$A,0))-G15-H15,0)</f>
        <v/>
      </c>
      <c r="J15" t="n">
        <v>21.9</v>
      </c>
      <c r="K15" t="inlineStr">
        <is>
          <t>Dry</t>
        </is>
      </c>
      <c r="M15" t="inlineStr">
        <is>
          <t>S01</t>
        </is>
      </c>
    </row>
    <row r="16">
      <c r="A16" t="inlineStr">
        <is>
          <t>2025-11-14</t>
        </is>
      </c>
      <c r="B16" t="inlineStr">
        <is>
          <t>PIG-B01</t>
        </is>
      </c>
      <c r="C16" t="inlineStr">
        <is>
          <t>Pen 1</t>
        </is>
      </c>
      <c r="D16" t="inlineStr">
        <is>
          <t>Pig starter</t>
        </is>
      </c>
      <c r="E16" t="n">
        <v>6</v>
      </c>
      <c r="F16" t="n">
        <v>14.3</v>
      </c>
      <c r="G16" t="n">
        <v>0</v>
      </c>
      <c r="H16" t="n">
        <v>0</v>
      </c>
      <c r="I16">
        <f>IFERROR(INDEX(P1_PIG_BATCHES!$E:$E,MATCH(B16,P1_PIG_BATCHES!$A:$A,0))-G16-H16,0)</f>
        <v/>
      </c>
      <c r="J16" t="n">
        <v>21.4</v>
      </c>
      <c r="K16" t="inlineStr">
        <is>
          <t>Dry</t>
        </is>
      </c>
      <c r="M16" t="inlineStr">
        <is>
          <t>S01</t>
        </is>
      </c>
    </row>
    <row r="17">
      <c r="A17" t="inlineStr">
        <is>
          <t>2025-11-15</t>
        </is>
      </c>
      <c r="B17" t="inlineStr">
        <is>
          <t>PIG-B01</t>
        </is>
      </c>
      <c r="C17" t="inlineStr">
        <is>
          <t>Pen 1</t>
        </is>
      </c>
      <c r="D17" t="inlineStr">
        <is>
          <t>Pig starter</t>
        </is>
      </c>
      <c r="E17" t="n">
        <v>6.7</v>
      </c>
      <c r="F17" t="n">
        <v>15.3</v>
      </c>
      <c r="G17" t="n">
        <v>0</v>
      </c>
      <c r="H17" t="n">
        <v>0</v>
      </c>
      <c r="I17">
        <f>IFERROR(INDEX(P1_PIG_BATCHES!$E:$E,MATCH(B17,P1_PIG_BATCHES!$A:$A,0))-G17-H17,0)</f>
        <v/>
      </c>
      <c r="J17" t="n">
        <v>26</v>
      </c>
      <c r="K17" t="inlineStr">
        <is>
          <t>Dry</t>
        </is>
      </c>
      <c r="M17" t="inlineStr">
        <is>
          <t>S01</t>
        </is>
      </c>
    </row>
    <row r="18">
      <c r="A18" t="inlineStr">
        <is>
          <t>2025-11-16</t>
        </is>
      </c>
      <c r="B18" t="inlineStr">
        <is>
          <t>PIG-B01</t>
        </is>
      </c>
      <c r="C18" t="inlineStr">
        <is>
          <t>Pen 1</t>
        </is>
      </c>
      <c r="D18" t="inlineStr">
        <is>
          <t>Pig starter</t>
        </is>
      </c>
      <c r="E18" t="n">
        <v>7</v>
      </c>
      <c r="F18" t="n">
        <v>15.7</v>
      </c>
      <c r="G18" t="n">
        <v>0</v>
      </c>
      <c r="H18" t="n">
        <v>0</v>
      </c>
      <c r="I18">
        <f>IFERROR(INDEX(P1_PIG_BATCHES!$E:$E,MATCH(B18,P1_PIG_BATCHES!$A:$A,0))-G18-H18,0)</f>
        <v/>
      </c>
      <c r="J18" t="n">
        <v>22.8</v>
      </c>
      <c r="K18" t="inlineStr">
        <is>
          <t>Dry</t>
        </is>
      </c>
      <c r="M18" t="inlineStr">
        <is>
          <t>S01</t>
        </is>
      </c>
    </row>
    <row r="19">
      <c r="A19" t="inlineStr">
        <is>
          <t>2025-11-17</t>
        </is>
      </c>
      <c r="B19" t="inlineStr">
        <is>
          <t>PIG-B01</t>
        </is>
      </c>
      <c r="C19" t="inlineStr">
        <is>
          <t>Pen 1</t>
        </is>
      </c>
      <c r="D19" t="inlineStr">
        <is>
          <t>Pig starter</t>
        </is>
      </c>
      <c r="E19" t="n">
        <v>6.1</v>
      </c>
      <c r="F19" t="n">
        <v>15.3</v>
      </c>
      <c r="G19" t="n">
        <v>0</v>
      </c>
      <c r="H19" t="n">
        <v>0</v>
      </c>
      <c r="I19">
        <f>IFERROR(INDEX(P1_PIG_BATCHES!$E:$E,MATCH(B19,P1_PIG_BATCHES!$A:$A,0))-G19-H19,0)</f>
        <v/>
      </c>
      <c r="J19" t="n">
        <v>21.6</v>
      </c>
      <c r="K19" t="inlineStr">
        <is>
          <t>Dry</t>
        </is>
      </c>
      <c r="M19" t="inlineStr">
        <is>
          <t>S01</t>
        </is>
      </c>
    </row>
    <row r="20">
      <c r="A20" t="inlineStr">
        <is>
          <t>2025-11-18</t>
        </is>
      </c>
      <c r="B20" t="inlineStr">
        <is>
          <t>PIG-B01</t>
        </is>
      </c>
      <c r="C20" t="inlineStr">
        <is>
          <t>Pen 1</t>
        </is>
      </c>
      <c r="D20" t="inlineStr">
        <is>
          <t>Pig starter</t>
        </is>
      </c>
      <c r="E20" t="n">
        <v>7.3</v>
      </c>
      <c r="F20" t="n">
        <v>20.7</v>
      </c>
      <c r="G20" t="n">
        <v>0</v>
      </c>
      <c r="H20" t="n">
        <v>0</v>
      </c>
      <c r="I20">
        <f>IFERROR(INDEX(P1_PIG_BATCHES!$E:$E,MATCH(B20,P1_PIG_BATCHES!$A:$A,0))-G20-H20,0)</f>
        <v/>
      </c>
      <c r="J20" t="n">
        <v>21.6</v>
      </c>
      <c r="K20" t="inlineStr">
        <is>
          <t>Dry</t>
        </is>
      </c>
      <c r="M20" t="inlineStr">
        <is>
          <t>S01</t>
        </is>
      </c>
    </row>
    <row r="21">
      <c r="A21" t="inlineStr">
        <is>
          <t>2025-11-19</t>
        </is>
      </c>
      <c r="B21" t="inlineStr">
        <is>
          <t>PIG-B01</t>
        </is>
      </c>
      <c r="C21" t="inlineStr">
        <is>
          <t>Pen 1</t>
        </is>
      </c>
      <c r="D21" t="inlineStr">
        <is>
          <t>Pig starter</t>
        </is>
      </c>
      <c r="E21" t="n">
        <v>6.9</v>
      </c>
      <c r="F21" t="n">
        <v>18.9</v>
      </c>
      <c r="G21" t="n">
        <v>0</v>
      </c>
      <c r="H21" t="n">
        <v>0</v>
      </c>
      <c r="I21">
        <f>IFERROR(INDEX(P1_PIG_BATCHES!$E:$E,MATCH(B21,P1_PIG_BATCHES!$A:$A,0))-G21-H21,0)</f>
        <v/>
      </c>
      <c r="J21" t="n">
        <v>22.1</v>
      </c>
      <c r="K21" t="inlineStr">
        <is>
          <t>Dry</t>
        </is>
      </c>
      <c r="M21" t="inlineStr">
        <is>
          <t>S01</t>
        </is>
      </c>
    </row>
    <row r="22">
      <c r="A22" t="inlineStr">
        <is>
          <t>2025-11-20</t>
        </is>
      </c>
      <c r="B22" t="inlineStr">
        <is>
          <t>PIG-B01</t>
        </is>
      </c>
      <c r="C22" t="inlineStr">
        <is>
          <t>Pen 1</t>
        </is>
      </c>
      <c r="D22" t="inlineStr">
        <is>
          <t>Pig starter</t>
        </is>
      </c>
      <c r="E22" t="n">
        <v>6.9</v>
      </c>
      <c r="F22" t="n">
        <v>19.3</v>
      </c>
      <c r="G22" t="n">
        <v>0</v>
      </c>
      <c r="H22" t="n">
        <v>0</v>
      </c>
      <c r="I22">
        <f>IFERROR(INDEX(P1_PIG_BATCHES!$E:$E,MATCH(B22,P1_PIG_BATCHES!$A:$A,0))-G22-H22,0)</f>
        <v/>
      </c>
      <c r="J22" t="n">
        <v>23.6</v>
      </c>
      <c r="K22" t="inlineStr">
        <is>
          <t>Dry</t>
        </is>
      </c>
      <c r="M22" t="inlineStr">
        <is>
          <t>S01</t>
        </is>
      </c>
    </row>
    <row r="23">
      <c r="A23" t="inlineStr">
        <is>
          <t>2025-11-21</t>
        </is>
      </c>
      <c r="B23" t="inlineStr">
        <is>
          <t>PIG-B01</t>
        </is>
      </c>
      <c r="C23" t="inlineStr">
        <is>
          <t>Pen 1</t>
        </is>
      </c>
      <c r="D23" t="inlineStr">
        <is>
          <t>Pig starter</t>
        </is>
      </c>
      <c r="E23" t="n">
        <v>7.1</v>
      </c>
      <c r="F23" t="n">
        <v>20.2</v>
      </c>
      <c r="G23" t="n">
        <v>0</v>
      </c>
      <c r="H23" t="n">
        <v>0</v>
      </c>
      <c r="I23">
        <f>IFERROR(INDEX(P1_PIG_BATCHES!$E:$E,MATCH(B23,P1_PIG_BATCHES!$A:$A,0))-G23-H23,0)</f>
        <v/>
      </c>
      <c r="J23" t="n">
        <v>23.8</v>
      </c>
      <c r="K23" t="inlineStr">
        <is>
          <t>Dry</t>
        </is>
      </c>
      <c r="M23" t="inlineStr">
        <is>
          <t>S01</t>
        </is>
      </c>
    </row>
    <row r="24">
      <c r="A24" t="inlineStr">
        <is>
          <t>2025-11-22</t>
        </is>
      </c>
      <c r="B24" t="inlineStr">
        <is>
          <t>PIG-B01</t>
        </is>
      </c>
      <c r="C24" t="inlineStr">
        <is>
          <t>Pen 1</t>
        </is>
      </c>
      <c r="D24" t="inlineStr">
        <is>
          <t>Pig starter</t>
        </is>
      </c>
      <c r="E24" t="n">
        <v>7.5</v>
      </c>
      <c r="F24" t="n">
        <v>22.1</v>
      </c>
      <c r="G24" t="n">
        <v>0</v>
      </c>
      <c r="H24" t="n">
        <v>0</v>
      </c>
      <c r="I24">
        <f>IFERROR(INDEX(P1_PIG_BATCHES!$E:$E,MATCH(B24,P1_PIG_BATCHES!$A:$A,0))-G24-H24,0)</f>
        <v/>
      </c>
      <c r="J24" t="n">
        <v>27.5</v>
      </c>
      <c r="K24" t="inlineStr">
        <is>
          <t>Dry</t>
        </is>
      </c>
      <c r="M24" t="inlineStr">
        <is>
          <t>S01</t>
        </is>
      </c>
    </row>
    <row r="25">
      <c r="A25" t="inlineStr">
        <is>
          <t>2025-11-23</t>
        </is>
      </c>
      <c r="B25" t="inlineStr">
        <is>
          <t>PIG-B01</t>
        </is>
      </c>
      <c r="C25" t="inlineStr">
        <is>
          <t>Pen 1</t>
        </is>
      </c>
      <c r="D25" t="inlineStr">
        <is>
          <t>Pig starter</t>
        </is>
      </c>
      <c r="E25" t="n">
        <v>7.5</v>
      </c>
      <c r="F25" t="n">
        <v>18.8</v>
      </c>
      <c r="G25" t="n">
        <v>0</v>
      </c>
      <c r="H25" t="n">
        <v>0</v>
      </c>
      <c r="I25">
        <f>IFERROR(INDEX(P1_PIG_BATCHES!$E:$E,MATCH(B25,P1_PIG_BATCHES!$A:$A,0))-G25-H25,0)</f>
        <v/>
      </c>
      <c r="J25" t="n">
        <v>24.2</v>
      </c>
      <c r="K25" t="inlineStr">
        <is>
          <t>Dry</t>
        </is>
      </c>
      <c r="M25" t="inlineStr">
        <is>
          <t>S01</t>
        </is>
      </c>
    </row>
    <row r="26">
      <c r="A26" t="inlineStr">
        <is>
          <t>2025-11-24</t>
        </is>
      </c>
      <c r="B26" t="inlineStr">
        <is>
          <t>PIG-B01</t>
        </is>
      </c>
      <c r="C26" t="inlineStr">
        <is>
          <t>Pen 1</t>
        </is>
      </c>
      <c r="D26" t="inlineStr">
        <is>
          <t>Pig starter</t>
        </is>
      </c>
      <c r="E26" t="n">
        <v>8.699999999999999</v>
      </c>
      <c r="F26" t="n">
        <v>24.7</v>
      </c>
      <c r="G26" t="n">
        <v>0</v>
      </c>
      <c r="H26" t="n">
        <v>0</v>
      </c>
      <c r="I26">
        <f>IFERROR(INDEX(P1_PIG_BATCHES!$E:$E,MATCH(B26,P1_PIG_BATCHES!$A:$A,0))-G26-H26,0)</f>
        <v/>
      </c>
      <c r="J26" t="n">
        <v>21.4</v>
      </c>
      <c r="K26" t="inlineStr">
        <is>
          <t>Dry</t>
        </is>
      </c>
      <c r="M26" t="inlineStr">
        <is>
          <t>S01</t>
        </is>
      </c>
    </row>
    <row r="27">
      <c r="A27" t="inlineStr">
        <is>
          <t>2025-11-25</t>
        </is>
      </c>
      <c r="B27" t="inlineStr">
        <is>
          <t>PIG-B01</t>
        </is>
      </c>
      <c r="C27" t="inlineStr">
        <is>
          <t>Pen 1</t>
        </is>
      </c>
      <c r="D27" t="inlineStr">
        <is>
          <t>Pig starter</t>
        </is>
      </c>
      <c r="E27" t="n">
        <v>8.6</v>
      </c>
      <c r="F27" t="n">
        <v>24.9</v>
      </c>
      <c r="G27" t="n">
        <v>0</v>
      </c>
      <c r="H27" t="n">
        <v>0</v>
      </c>
      <c r="I27">
        <f>IFERROR(INDEX(P1_PIG_BATCHES!$E:$E,MATCH(B27,P1_PIG_BATCHES!$A:$A,0))-G27-H27,0)</f>
        <v/>
      </c>
      <c r="J27" t="n">
        <v>24.4</v>
      </c>
      <c r="K27" t="inlineStr">
        <is>
          <t>Dry</t>
        </is>
      </c>
      <c r="M27" t="inlineStr">
        <is>
          <t>S01</t>
        </is>
      </c>
    </row>
    <row r="28">
      <c r="A28" t="inlineStr">
        <is>
          <t>2025-11-26</t>
        </is>
      </c>
      <c r="B28" t="inlineStr">
        <is>
          <t>PIG-B01</t>
        </is>
      </c>
      <c r="C28" t="inlineStr">
        <is>
          <t>Pen 1</t>
        </is>
      </c>
      <c r="D28" t="inlineStr">
        <is>
          <t>Pig starter</t>
        </is>
      </c>
      <c r="E28" t="n">
        <v>9.199999999999999</v>
      </c>
      <c r="F28" t="n">
        <v>26.4</v>
      </c>
      <c r="G28" t="n">
        <v>0</v>
      </c>
      <c r="H28" t="n">
        <v>0</v>
      </c>
      <c r="I28">
        <f>IFERROR(INDEX(P1_PIG_BATCHES!$E:$E,MATCH(B28,P1_PIG_BATCHES!$A:$A,0))-G28-H28,0)</f>
        <v/>
      </c>
      <c r="J28" t="n">
        <v>22.5</v>
      </c>
      <c r="K28" t="inlineStr">
        <is>
          <t>Dry</t>
        </is>
      </c>
      <c r="M28" t="inlineStr">
        <is>
          <t>S01</t>
        </is>
      </c>
    </row>
    <row r="29">
      <c r="A29" t="inlineStr">
        <is>
          <t>2025-11-27</t>
        </is>
      </c>
      <c r="B29" t="inlineStr">
        <is>
          <t>PIG-B01</t>
        </is>
      </c>
      <c r="C29" t="inlineStr">
        <is>
          <t>Pen 1</t>
        </is>
      </c>
      <c r="D29" t="inlineStr">
        <is>
          <t>Pig starter</t>
        </is>
      </c>
      <c r="E29" t="n">
        <v>8.300000000000001</v>
      </c>
      <c r="F29" t="n">
        <v>24.2</v>
      </c>
      <c r="G29" t="n">
        <v>0</v>
      </c>
      <c r="H29" t="n">
        <v>0</v>
      </c>
      <c r="I29">
        <f>IFERROR(INDEX(P1_PIG_BATCHES!$E:$E,MATCH(B29,P1_PIG_BATCHES!$A:$A,0))-G29-H29,0)</f>
        <v/>
      </c>
      <c r="J29" t="n">
        <v>21.5</v>
      </c>
      <c r="K29" t="inlineStr">
        <is>
          <t>Dry</t>
        </is>
      </c>
      <c r="M29" t="inlineStr">
        <is>
          <t>S01</t>
        </is>
      </c>
    </row>
    <row r="30">
      <c r="A30" t="inlineStr">
        <is>
          <t>2025-11-28</t>
        </is>
      </c>
      <c r="B30" t="inlineStr">
        <is>
          <t>PIG-B01</t>
        </is>
      </c>
      <c r="C30" t="inlineStr">
        <is>
          <t>Pen 1</t>
        </is>
      </c>
      <c r="D30" t="inlineStr">
        <is>
          <t>Pig starter</t>
        </is>
      </c>
      <c r="E30" t="n">
        <v>9.9</v>
      </c>
      <c r="F30" t="n">
        <v>23.6</v>
      </c>
      <c r="G30" t="n">
        <v>0</v>
      </c>
      <c r="H30" t="n">
        <v>0</v>
      </c>
      <c r="I30">
        <f>IFERROR(INDEX(P1_PIG_BATCHES!$E:$E,MATCH(B30,P1_PIG_BATCHES!$A:$A,0))-G30-H30,0)</f>
        <v/>
      </c>
      <c r="J30" t="n">
        <v>23.6</v>
      </c>
      <c r="K30" t="inlineStr">
        <is>
          <t>Dry</t>
        </is>
      </c>
      <c r="M30" t="inlineStr">
        <is>
          <t>S01</t>
        </is>
      </c>
    </row>
    <row r="31">
      <c r="A31" t="inlineStr">
        <is>
          <t>2025-11-29</t>
        </is>
      </c>
      <c r="B31" t="inlineStr">
        <is>
          <t>PIG-B01</t>
        </is>
      </c>
      <c r="C31" t="inlineStr">
        <is>
          <t>Pen 1</t>
        </is>
      </c>
      <c r="D31" t="inlineStr">
        <is>
          <t>Pig starter</t>
        </is>
      </c>
      <c r="E31" t="n">
        <v>8.1</v>
      </c>
      <c r="F31" t="n">
        <v>18.2</v>
      </c>
      <c r="G31" t="n">
        <v>0</v>
      </c>
      <c r="H31" t="n">
        <v>0</v>
      </c>
      <c r="I31">
        <f>IFERROR(INDEX(P1_PIG_BATCHES!$E:$E,MATCH(B31,P1_PIG_BATCHES!$A:$A,0))-G31-H31,0)</f>
        <v/>
      </c>
      <c r="J31" t="n">
        <v>24</v>
      </c>
      <c r="K31" t="inlineStr">
        <is>
          <t>Dry</t>
        </is>
      </c>
      <c r="M31" t="inlineStr">
        <is>
          <t>S01</t>
        </is>
      </c>
    </row>
    <row r="32">
      <c r="A32" t="inlineStr">
        <is>
          <t>2025-11-30</t>
        </is>
      </c>
      <c r="B32" t="inlineStr">
        <is>
          <t>PIG-B01</t>
        </is>
      </c>
      <c r="C32" t="inlineStr">
        <is>
          <t>Pen 1</t>
        </is>
      </c>
      <c r="D32" t="inlineStr">
        <is>
          <t>Pig starter</t>
        </is>
      </c>
      <c r="E32" t="n">
        <v>10.5</v>
      </c>
      <c r="F32" t="n">
        <v>26.3</v>
      </c>
      <c r="G32" t="n">
        <v>0</v>
      </c>
      <c r="H32" t="n">
        <v>0</v>
      </c>
      <c r="I32">
        <f>IFERROR(INDEX(P1_PIG_BATCHES!$E:$E,MATCH(B32,P1_PIG_BATCHES!$A:$A,0))-G32-H32,0)</f>
        <v/>
      </c>
      <c r="J32" t="n">
        <v>20.6</v>
      </c>
      <c r="K32" t="inlineStr">
        <is>
          <t>Dry</t>
        </is>
      </c>
      <c r="M32" t="inlineStr">
        <is>
          <t>S01</t>
        </is>
      </c>
    </row>
    <row r="33">
      <c r="A33" t="inlineStr">
        <is>
          <t>2025-12-01</t>
        </is>
      </c>
      <c r="B33" t="inlineStr">
        <is>
          <t>PIG-B01</t>
        </is>
      </c>
      <c r="C33" t="inlineStr">
        <is>
          <t>Pen 1</t>
        </is>
      </c>
      <c r="D33" t="inlineStr">
        <is>
          <t>Pig starter</t>
        </is>
      </c>
      <c r="E33" t="n">
        <v>10.4</v>
      </c>
      <c r="F33" t="n">
        <v>28.3</v>
      </c>
      <c r="G33" t="n">
        <v>0</v>
      </c>
      <c r="H33" t="n">
        <v>0</v>
      </c>
      <c r="I33">
        <f>IFERROR(INDEX(P1_PIG_BATCHES!$E:$E,MATCH(B33,P1_PIG_BATCHES!$A:$A,0))-G33-H33,0)</f>
        <v/>
      </c>
      <c r="J33" t="n">
        <v>26.1</v>
      </c>
      <c r="K33" t="inlineStr">
        <is>
          <t>Dry</t>
        </is>
      </c>
      <c r="M33" t="inlineStr">
        <is>
          <t>S01</t>
        </is>
      </c>
    </row>
    <row r="34">
      <c r="A34" t="inlineStr">
        <is>
          <t>2025-12-02</t>
        </is>
      </c>
      <c r="B34" t="inlineStr">
        <is>
          <t>PIG-B01</t>
        </is>
      </c>
      <c r="C34" t="inlineStr">
        <is>
          <t>Pen 1</t>
        </is>
      </c>
      <c r="D34" t="inlineStr">
        <is>
          <t>Pig grower</t>
        </is>
      </c>
      <c r="E34" t="n">
        <v>9.300000000000001</v>
      </c>
      <c r="F34" t="n">
        <v>26.6</v>
      </c>
      <c r="G34" t="n">
        <v>0</v>
      </c>
      <c r="H34" t="n">
        <v>0</v>
      </c>
      <c r="I34">
        <f>IFERROR(INDEX(P1_PIG_BATCHES!$E:$E,MATCH(B34,P1_PIG_BATCHES!$A:$A,0))-G34-H34,0)</f>
        <v/>
      </c>
      <c r="J34" t="n">
        <v>25.4</v>
      </c>
      <c r="K34" t="inlineStr">
        <is>
          <t>Dry</t>
        </is>
      </c>
      <c r="M34" t="inlineStr">
        <is>
          <t>S01</t>
        </is>
      </c>
    </row>
    <row r="35">
      <c r="A35" t="inlineStr">
        <is>
          <t>2025-12-03</t>
        </is>
      </c>
      <c r="B35" t="inlineStr">
        <is>
          <t>PIG-B01</t>
        </is>
      </c>
      <c r="C35" t="inlineStr">
        <is>
          <t>Pen 1</t>
        </is>
      </c>
      <c r="D35" t="inlineStr">
        <is>
          <t>Pig grower</t>
        </is>
      </c>
      <c r="E35" t="n">
        <v>10.5</v>
      </c>
      <c r="F35" t="n">
        <v>26.9</v>
      </c>
      <c r="G35" t="n">
        <v>0</v>
      </c>
      <c r="H35" t="n">
        <v>0</v>
      </c>
      <c r="I35">
        <f>IFERROR(INDEX(P1_PIG_BATCHES!$E:$E,MATCH(B35,P1_PIG_BATCHES!$A:$A,0))-G35-H35,0)</f>
        <v/>
      </c>
      <c r="J35" t="n">
        <v>20.4</v>
      </c>
      <c r="K35" t="inlineStr">
        <is>
          <t>Dry</t>
        </is>
      </c>
      <c r="M35" t="inlineStr">
        <is>
          <t>S01</t>
        </is>
      </c>
    </row>
    <row r="36">
      <c r="A36" t="inlineStr">
        <is>
          <t>2025-12-04</t>
        </is>
      </c>
      <c r="B36" t="inlineStr">
        <is>
          <t>PIG-B01</t>
        </is>
      </c>
      <c r="C36" t="inlineStr">
        <is>
          <t>Pen 1</t>
        </is>
      </c>
      <c r="D36" t="inlineStr">
        <is>
          <t>Pig grower</t>
        </is>
      </c>
      <c r="E36" t="n">
        <v>9.6</v>
      </c>
      <c r="F36" t="n">
        <v>27.5</v>
      </c>
      <c r="G36" t="n">
        <v>0</v>
      </c>
      <c r="H36" t="n">
        <v>0</v>
      </c>
      <c r="I36">
        <f>IFERROR(INDEX(P1_PIG_BATCHES!$E:$E,MATCH(B36,P1_PIG_BATCHES!$A:$A,0))-G36-H36,0)</f>
        <v/>
      </c>
      <c r="J36" t="n">
        <v>24.4</v>
      </c>
      <c r="K36" t="inlineStr">
        <is>
          <t>Dry</t>
        </is>
      </c>
      <c r="M36" t="inlineStr">
        <is>
          <t>S01</t>
        </is>
      </c>
    </row>
    <row r="37">
      <c r="A37" t="inlineStr">
        <is>
          <t>2025-12-05</t>
        </is>
      </c>
      <c r="B37" t="inlineStr">
        <is>
          <t>PIG-B01</t>
        </is>
      </c>
      <c r="C37" t="inlineStr">
        <is>
          <t>Pen 1</t>
        </is>
      </c>
      <c r="D37" t="inlineStr">
        <is>
          <t>Pig grower</t>
        </is>
      </c>
      <c r="E37" t="n">
        <v>10.5</v>
      </c>
      <c r="F37" t="n">
        <v>24.1</v>
      </c>
      <c r="G37" t="n">
        <v>0</v>
      </c>
      <c r="H37" t="n">
        <v>0</v>
      </c>
      <c r="I37">
        <f>IFERROR(INDEX(P1_PIG_BATCHES!$E:$E,MATCH(B37,P1_PIG_BATCHES!$A:$A,0))-G37-H37,0)</f>
        <v/>
      </c>
      <c r="J37" t="n">
        <v>22.5</v>
      </c>
      <c r="K37" t="inlineStr">
        <is>
          <t>Dry</t>
        </is>
      </c>
      <c r="M37" t="inlineStr">
        <is>
          <t>S01</t>
        </is>
      </c>
    </row>
    <row r="38">
      <c r="A38" t="inlineStr">
        <is>
          <t>2025-12-06</t>
        </is>
      </c>
      <c r="B38" t="inlineStr">
        <is>
          <t>PIG-B01</t>
        </is>
      </c>
      <c r="C38" t="inlineStr">
        <is>
          <t>Pen 1</t>
        </is>
      </c>
      <c r="D38" t="inlineStr">
        <is>
          <t>Pig grower</t>
        </is>
      </c>
      <c r="E38" t="n">
        <v>9.5</v>
      </c>
      <c r="F38" t="n">
        <v>24.1</v>
      </c>
      <c r="G38" t="n">
        <v>0</v>
      </c>
      <c r="H38" t="n">
        <v>0</v>
      </c>
      <c r="I38">
        <f>IFERROR(INDEX(P1_PIG_BATCHES!$E:$E,MATCH(B38,P1_PIG_BATCHES!$A:$A,0))-G38-H38,0)</f>
        <v/>
      </c>
      <c r="J38" t="n">
        <v>26.1</v>
      </c>
      <c r="K38" t="inlineStr">
        <is>
          <t>Dry</t>
        </is>
      </c>
      <c r="M38" t="inlineStr">
        <is>
          <t>S01</t>
        </is>
      </c>
    </row>
    <row r="39">
      <c r="A39" t="inlineStr">
        <is>
          <t>2025-12-07</t>
        </is>
      </c>
      <c r="B39" t="inlineStr">
        <is>
          <t>PIG-B01</t>
        </is>
      </c>
      <c r="C39" t="inlineStr">
        <is>
          <t>Pen 1</t>
        </is>
      </c>
      <c r="D39" t="inlineStr">
        <is>
          <t>Pig grower</t>
        </is>
      </c>
      <c r="E39" t="n">
        <v>9.800000000000001</v>
      </c>
      <c r="F39" t="n">
        <v>28.6</v>
      </c>
      <c r="G39" t="n">
        <v>0</v>
      </c>
      <c r="H39" t="n">
        <v>0</v>
      </c>
      <c r="I39">
        <f>IFERROR(INDEX(P1_PIG_BATCHES!$E:$E,MATCH(B39,P1_PIG_BATCHES!$A:$A,0))-G39-H39,0)</f>
        <v/>
      </c>
      <c r="J39" t="n">
        <v>24.7</v>
      </c>
      <c r="K39" t="inlineStr">
        <is>
          <t>Dry</t>
        </is>
      </c>
      <c r="M39" t="inlineStr">
        <is>
          <t>S01</t>
        </is>
      </c>
    </row>
    <row r="40">
      <c r="A40" t="inlineStr">
        <is>
          <t>2025-12-08</t>
        </is>
      </c>
      <c r="B40" t="inlineStr">
        <is>
          <t>PIG-B01</t>
        </is>
      </c>
      <c r="C40" t="inlineStr">
        <is>
          <t>Pen 1</t>
        </is>
      </c>
      <c r="D40" t="inlineStr">
        <is>
          <t>Pig grower</t>
        </is>
      </c>
      <c r="E40" t="n">
        <v>11.1</v>
      </c>
      <c r="F40" t="n">
        <v>26.6</v>
      </c>
      <c r="G40" t="n">
        <v>0</v>
      </c>
      <c r="H40" t="n">
        <v>0</v>
      </c>
      <c r="I40">
        <f>IFERROR(INDEX(P1_PIG_BATCHES!$E:$E,MATCH(B40,P1_PIG_BATCHES!$A:$A,0))-G40-H40,0)</f>
        <v/>
      </c>
      <c r="J40" t="n">
        <v>21.4</v>
      </c>
      <c r="K40" t="inlineStr">
        <is>
          <t>Dry</t>
        </is>
      </c>
      <c r="M40" t="inlineStr">
        <is>
          <t>S01</t>
        </is>
      </c>
    </row>
    <row r="41">
      <c r="A41" t="inlineStr">
        <is>
          <t>2025-12-09</t>
        </is>
      </c>
      <c r="B41" t="inlineStr">
        <is>
          <t>PIG-B01</t>
        </is>
      </c>
      <c r="C41" t="inlineStr">
        <is>
          <t>Pen 1</t>
        </is>
      </c>
      <c r="D41" t="inlineStr">
        <is>
          <t>Pig grower</t>
        </is>
      </c>
      <c r="E41" t="n">
        <v>11.6</v>
      </c>
      <c r="F41" t="n">
        <v>27.8</v>
      </c>
      <c r="G41" t="n">
        <v>0</v>
      </c>
      <c r="H41" t="n">
        <v>0</v>
      </c>
      <c r="I41">
        <f>IFERROR(INDEX(P1_PIG_BATCHES!$E:$E,MATCH(B41,P1_PIG_BATCHES!$A:$A,0))-G41-H41,0)</f>
        <v/>
      </c>
      <c r="J41" t="n">
        <v>23.4</v>
      </c>
      <c r="K41" t="inlineStr">
        <is>
          <t>Dry</t>
        </is>
      </c>
      <c r="M41" t="inlineStr">
        <is>
          <t>S01</t>
        </is>
      </c>
    </row>
    <row r="42">
      <c r="A42" t="inlineStr">
        <is>
          <t>2025-12-10</t>
        </is>
      </c>
      <c r="B42" t="inlineStr">
        <is>
          <t>PIG-B01</t>
        </is>
      </c>
      <c r="C42" t="inlineStr">
        <is>
          <t>Pen 1</t>
        </is>
      </c>
      <c r="D42" t="inlineStr">
        <is>
          <t>Pig grower</t>
        </is>
      </c>
      <c r="E42" t="n">
        <v>10.3</v>
      </c>
      <c r="F42" t="n">
        <v>30.6</v>
      </c>
      <c r="G42" t="n">
        <v>0</v>
      </c>
      <c r="H42" t="n">
        <v>0</v>
      </c>
      <c r="I42">
        <f>IFERROR(INDEX(P1_PIG_BATCHES!$E:$E,MATCH(B42,P1_PIG_BATCHES!$A:$A,0))-G42-H42,0)</f>
        <v/>
      </c>
      <c r="J42" t="n">
        <v>20.9</v>
      </c>
      <c r="K42" t="inlineStr">
        <is>
          <t>Dry</t>
        </is>
      </c>
      <c r="M42" t="inlineStr">
        <is>
          <t>S01</t>
        </is>
      </c>
    </row>
    <row r="43">
      <c r="A43" t="inlineStr">
        <is>
          <t>2025-12-11</t>
        </is>
      </c>
      <c r="B43" t="inlineStr">
        <is>
          <t>PIG-B01</t>
        </is>
      </c>
      <c r="C43" t="inlineStr">
        <is>
          <t>Pen 1</t>
        </is>
      </c>
      <c r="D43" t="inlineStr">
        <is>
          <t>Pig grower</t>
        </is>
      </c>
      <c r="E43" t="n">
        <v>11.7</v>
      </c>
      <c r="F43" t="n">
        <v>34.9</v>
      </c>
      <c r="G43" t="n">
        <v>0</v>
      </c>
      <c r="H43" t="n">
        <v>0</v>
      </c>
      <c r="I43">
        <f>IFERROR(INDEX(P1_PIG_BATCHES!$E:$E,MATCH(B43,P1_PIG_BATCHES!$A:$A,0))-G43-H43,0)</f>
        <v/>
      </c>
      <c r="J43" t="n">
        <v>24.4</v>
      </c>
      <c r="K43" t="inlineStr">
        <is>
          <t>Dry</t>
        </is>
      </c>
      <c r="M43" t="inlineStr">
        <is>
          <t>S01</t>
        </is>
      </c>
    </row>
    <row r="44">
      <c r="A44" t="inlineStr">
        <is>
          <t>2025-12-12</t>
        </is>
      </c>
      <c r="B44" t="inlineStr">
        <is>
          <t>PIG-B01</t>
        </is>
      </c>
      <c r="C44" t="inlineStr">
        <is>
          <t>Pen 1</t>
        </is>
      </c>
      <c r="D44" t="inlineStr">
        <is>
          <t>Pig grower</t>
        </is>
      </c>
      <c r="E44" t="n">
        <v>11.8</v>
      </c>
      <c r="F44" t="n">
        <v>31.9</v>
      </c>
      <c r="G44" t="n">
        <v>0</v>
      </c>
      <c r="H44" t="n">
        <v>0</v>
      </c>
      <c r="I44">
        <f>IFERROR(INDEX(P1_PIG_BATCHES!$E:$E,MATCH(B44,P1_PIG_BATCHES!$A:$A,0))-G44-H44,0)</f>
        <v/>
      </c>
      <c r="J44" t="n">
        <v>27.5</v>
      </c>
      <c r="K44" t="inlineStr">
        <is>
          <t>Dry</t>
        </is>
      </c>
      <c r="M44" t="inlineStr">
        <is>
          <t>S01</t>
        </is>
      </c>
    </row>
    <row r="45">
      <c r="A45" t="inlineStr">
        <is>
          <t>2025-12-13</t>
        </is>
      </c>
      <c r="B45" t="inlineStr">
        <is>
          <t>PIG-B01</t>
        </is>
      </c>
      <c r="C45" t="inlineStr">
        <is>
          <t>Pen 1</t>
        </is>
      </c>
      <c r="D45" t="inlineStr">
        <is>
          <t>Pig grower</t>
        </is>
      </c>
      <c r="E45" t="n">
        <v>10.7</v>
      </c>
      <c r="F45" t="n">
        <v>30.2</v>
      </c>
      <c r="G45" t="n">
        <v>0</v>
      </c>
      <c r="H45" t="n">
        <v>0</v>
      </c>
      <c r="I45">
        <f>IFERROR(INDEX(P1_PIG_BATCHES!$E:$E,MATCH(B45,P1_PIG_BATCHES!$A:$A,0))-G45-H45,0)</f>
        <v/>
      </c>
      <c r="J45" t="n">
        <v>22.9</v>
      </c>
      <c r="K45" t="inlineStr">
        <is>
          <t>Dry</t>
        </is>
      </c>
      <c r="M45" t="inlineStr">
        <is>
          <t>S01</t>
        </is>
      </c>
    </row>
    <row r="46">
      <c r="A46" t="inlineStr">
        <is>
          <t>2025-12-14</t>
        </is>
      </c>
      <c r="B46" t="inlineStr">
        <is>
          <t>PIG-B01</t>
        </is>
      </c>
      <c r="C46" t="inlineStr">
        <is>
          <t>Pen 1</t>
        </is>
      </c>
      <c r="D46" t="inlineStr">
        <is>
          <t>Pig grower</t>
        </is>
      </c>
      <c r="E46" t="n">
        <v>12.7</v>
      </c>
      <c r="F46" t="n">
        <v>35.7</v>
      </c>
      <c r="G46" t="n">
        <v>0</v>
      </c>
      <c r="H46" t="n">
        <v>0</v>
      </c>
      <c r="I46">
        <f>IFERROR(INDEX(P1_PIG_BATCHES!$E:$E,MATCH(B46,P1_PIG_BATCHES!$A:$A,0))-G46-H46,0)</f>
        <v/>
      </c>
      <c r="J46" t="n">
        <v>25.7</v>
      </c>
      <c r="K46" t="inlineStr">
        <is>
          <t>Dry</t>
        </is>
      </c>
      <c r="M46" t="inlineStr">
        <is>
          <t>S01</t>
        </is>
      </c>
    </row>
    <row r="47">
      <c r="A47" t="inlineStr">
        <is>
          <t>2025-12-15</t>
        </is>
      </c>
      <c r="B47" t="inlineStr">
        <is>
          <t>PIG-B01</t>
        </is>
      </c>
      <c r="C47" t="inlineStr">
        <is>
          <t>Pen 1</t>
        </is>
      </c>
      <c r="D47" t="inlineStr">
        <is>
          <t>Pig grower</t>
        </is>
      </c>
      <c r="E47" t="n">
        <v>11.2</v>
      </c>
      <c r="F47" t="n">
        <v>29.5</v>
      </c>
      <c r="G47" t="n">
        <v>0</v>
      </c>
      <c r="H47" t="n">
        <v>0</v>
      </c>
      <c r="I47">
        <f>IFERROR(INDEX(P1_PIG_BATCHES!$E:$E,MATCH(B47,P1_PIG_BATCHES!$A:$A,0))-G47-H47,0)</f>
        <v/>
      </c>
      <c r="J47" t="n">
        <v>26.3</v>
      </c>
      <c r="K47" t="inlineStr">
        <is>
          <t>Dry</t>
        </is>
      </c>
      <c r="M47" t="inlineStr">
        <is>
          <t>S01</t>
        </is>
      </c>
    </row>
    <row r="48">
      <c r="A48" t="inlineStr">
        <is>
          <t>2025-12-16</t>
        </is>
      </c>
      <c r="B48" t="inlineStr">
        <is>
          <t>PIG-B01</t>
        </is>
      </c>
      <c r="C48" t="inlineStr">
        <is>
          <t>Pen 1</t>
        </is>
      </c>
      <c r="D48" t="inlineStr">
        <is>
          <t>Pig grower</t>
        </is>
      </c>
      <c r="E48" t="n">
        <v>13.6</v>
      </c>
      <c r="F48" t="n">
        <v>35</v>
      </c>
      <c r="G48" t="n">
        <v>0</v>
      </c>
      <c r="H48" t="n">
        <v>0</v>
      </c>
      <c r="I48">
        <f>IFERROR(INDEX(P1_PIG_BATCHES!$E:$E,MATCH(B48,P1_PIG_BATCHES!$A:$A,0))-G48-H48,0)</f>
        <v/>
      </c>
      <c r="J48" t="n">
        <v>25.4</v>
      </c>
      <c r="K48" t="inlineStr">
        <is>
          <t>Dry</t>
        </is>
      </c>
      <c r="M48" t="inlineStr">
        <is>
          <t>S01</t>
        </is>
      </c>
    </row>
    <row r="49">
      <c r="A49" t="inlineStr">
        <is>
          <t>2025-12-17</t>
        </is>
      </c>
      <c r="B49" t="inlineStr">
        <is>
          <t>PIG-B01</t>
        </is>
      </c>
      <c r="C49" t="inlineStr">
        <is>
          <t>Pen 1</t>
        </is>
      </c>
      <c r="D49" t="inlineStr">
        <is>
          <t>Pig grower</t>
        </is>
      </c>
      <c r="E49" t="n">
        <v>13.9</v>
      </c>
      <c r="F49" t="n">
        <v>31.4</v>
      </c>
      <c r="G49" t="n">
        <v>0</v>
      </c>
      <c r="H49" t="n">
        <v>0</v>
      </c>
      <c r="I49">
        <f>IFERROR(INDEX(P1_PIG_BATCHES!$E:$E,MATCH(B49,P1_PIG_BATCHES!$A:$A,0))-G49-H49,0)</f>
        <v/>
      </c>
      <c r="J49" t="n">
        <v>26</v>
      </c>
      <c r="K49" t="inlineStr">
        <is>
          <t>Dry</t>
        </is>
      </c>
      <c r="M49" t="inlineStr">
        <is>
          <t>S01</t>
        </is>
      </c>
    </row>
    <row r="50">
      <c r="A50" t="inlineStr">
        <is>
          <t>2025-12-18</t>
        </is>
      </c>
      <c r="B50" t="inlineStr">
        <is>
          <t>PIG-B01</t>
        </is>
      </c>
      <c r="C50" t="inlineStr">
        <is>
          <t>Pen 1</t>
        </is>
      </c>
      <c r="D50" t="inlineStr">
        <is>
          <t>Pig grower</t>
        </is>
      </c>
      <c r="E50" t="n">
        <v>12.5</v>
      </c>
      <c r="F50" t="n">
        <v>28.1</v>
      </c>
      <c r="G50" t="n">
        <v>0</v>
      </c>
      <c r="H50" t="n">
        <v>0</v>
      </c>
      <c r="I50">
        <f>IFERROR(INDEX(P1_PIG_BATCHES!$E:$E,MATCH(B50,P1_PIG_BATCHES!$A:$A,0))-G50-H50,0)</f>
        <v/>
      </c>
      <c r="J50" t="n">
        <v>21.8</v>
      </c>
      <c r="K50" t="inlineStr">
        <is>
          <t>Dry</t>
        </is>
      </c>
      <c r="M50" t="inlineStr">
        <is>
          <t>S01</t>
        </is>
      </c>
    </row>
    <row r="51">
      <c r="A51" t="inlineStr">
        <is>
          <t>2025-12-19</t>
        </is>
      </c>
      <c r="B51" t="inlineStr">
        <is>
          <t>PIG-B01</t>
        </is>
      </c>
      <c r="C51" t="inlineStr">
        <is>
          <t>Pen 1</t>
        </is>
      </c>
      <c r="D51" t="inlineStr">
        <is>
          <t>Pig grower</t>
        </is>
      </c>
      <c r="E51" t="n">
        <v>14.8</v>
      </c>
      <c r="F51" t="n">
        <v>38.7</v>
      </c>
      <c r="G51" t="n">
        <v>0</v>
      </c>
      <c r="H51" t="n">
        <v>0</v>
      </c>
      <c r="I51">
        <f>IFERROR(INDEX(P1_PIG_BATCHES!$E:$E,MATCH(B51,P1_PIG_BATCHES!$A:$A,0))-G51-H51,0)</f>
        <v/>
      </c>
      <c r="J51" t="n">
        <v>27.5</v>
      </c>
      <c r="K51" t="inlineStr">
        <is>
          <t>Dry</t>
        </is>
      </c>
      <c r="M51" t="inlineStr">
        <is>
          <t>S01</t>
        </is>
      </c>
    </row>
    <row r="52">
      <c r="A52" t="inlineStr">
        <is>
          <t>2025-12-20</t>
        </is>
      </c>
      <c r="B52" t="inlineStr">
        <is>
          <t>PIG-B01</t>
        </is>
      </c>
      <c r="C52" t="inlineStr">
        <is>
          <t>Pen 1</t>
        </is>
      </c>
      <c r="D52" t="inlineStr">
        <is>
          <t>Pig grower</t>
        </is>
      </c>
      <c r="E52" t="n">
        <v>12.8</v>
      </c>
      <c r="F52" t="n">
        <v>35.8</v>
      </c>
      <c r="G52" t="n">
        <v>0</v>
      </c>
      <c r="H52" t="n">
        <v>0</v>
      </c>
      <c r="I52">
        <f>IFERROR(INDEX(P1_PIG_BATCHES!$E:$E,MATCH(B52,P1_PIG_BATCHES!$A:$A,0))-G52-H52,0)</f>
        <v/>
      </c>
      <c r="J52" t="n">
        <v>21.8</v>
      </c>
      <c r="K52" t="inlineStr">
        <is>
          <t>Dry</t>
        </is>
      </c>
      <c r="M52" t="inlineStr">
        <is>
          <t>S01</t>
        </is>
      </c>
    </row>
    <row r="53">
      <c r="A53" t="inlineStr">
        <is>
          <t>2025-12-21</t>
        </is>
      </c>
      <c r="B53" t="inlineStr">
        <is>
          <t>PIG-B01</t>
        </is>
      </c>
      <c r="C53" t="inlineStr">
        <is>
          <t>Pen 1</t>
        </is>
      </c>
      <c r="D53" t="inlineStr">
        <is>
          <t>Pig grower</t>
        </is>
      </c>
      <c r="E53" t="n">
        <v>14.7</v>
      </c>
      <c r="F53" t="n">
        <v>42.4</v>
      </c>
      <c r="G53" t="n">
        <v>0</v>
      </c>
      <c r="H53" t="n">
        <v>0</v>
      </c>
      <c r="I53">
        <f>IFERROR(INDEX(P1_PIG_BATCHES!$E:$E,MATCH(B53,P1_PIG_BATCHES!$A:$A,0))-G53-H53,0)</f>
        <v/>
      </c>
      <c r="J53" t="n">
        <v>22.8</v>
      </c>
      <c r="K53" t="inlineStr">
        <is>
          <t>Dry</t>
        </is>
      </c>
      <c r="M53" t="inlineStr">
        <is>
          <t>S01</t>
        </is>
      </c>
    </row>
    <row r="54">
      <c r="A54" t="inlineStr">
        <is>
          <t>2025-12-22</t>
        </is>
      </c>
      <c r="B54" t="inlineStr">
        <is>
          <t>PIG-B01</t>
        </is>
      </c>
      <c r="C54" t="inlineStr">
        <is>
          <t>Pen 1</t>
        </is>
      </c>
      <c r="D54" t="inlineStr">
        <is>
          <t>Pig grower</t>
        </is>
      </c>
      <c r="E54" t="n">
        <v>13.6</v>
      </c>
      <c r="F54" t="n">
        <v>39.5</v>
      </c>
      <c r="G54" t="n">
        <v>0</v>
      </c>
      <c r="H54" t="n">
        <v>0</v>
      </c>
      <c r="I54">
        <f>IFERROR(INDEX(P1_PIG_BATCHES!$E:$E,MATCH(B54,P1_PIG_BATCHES!$A:$A,0))-G54-H54,0)</f>
        <v/>
      </c>
      <c r="J54" t="n">
        <v>25.8</v>
      </c>
      <c r="K54" t="inlineStr">
        <is>
          <t>Dry</t>
        </is>
      </c>
      <c r="M54" t="inlineStr">
        <is>
          <t>S01</t>
        </is>
      </c>
    </row>
    <row r="55">
      <c r="A55" t="inlineStr">
        <is>
          <t>2025-12-23</t>
        </is>
      </c>
      <c r="B55" t="inlineStr">
        <is>
          <t>PIG-B01</t>
        </is>
      </c>
      <c r="C55" t="inlineStr">
        <is>
          <t>Pen 1</t>
        </is>
      </c>
      <c r="D55" t="inlineStr">
        <is>
          <t>Pig grower</t>
        </is>
      </c>
      <c r="E55" t="n">
        <v>13.8</v>
      </c>
      <c r="F55" t="n">
        <v>41</v>
      </c>
      <c r="G55" t="n">
        <v>0</v>
      </c>
      <c r="H55" t="n">
        <v>0</v>
      </c>
      <c r="I55">
        <f>IFERROR(INDEX(P1_PIG_BATCHES!$E:$E,MATCH(B55,P1_PIG_BATCHES!$A:$A,0))-G55-H55,0)</f>
        <v/>
      </c>
      <c r="J55" t="n">
        <v>24</v>
      </c>
      <c r="K55" t="inlineStr">
        <is>
          <t>Dry</t>
        </is>
      </c>
      <c r="M55" t="inlineStr">
        <is>
          <t>S01</t>
        </is>
      </c>
    </row>
    <row r="56">
      <c r="A56" t="inlineStr">
        <is>
          <t>2025-12-24</t>
        </is>
      </c>
      <c r="B56" t="inlineStr">
        <is>
          <t>PIG-B01</t>
        </is>
      </c>
      <c r="C56" t="inlineStr">
        <is>
          <t>Pen 1</t>
        </is>
      </c>
      <c r="D56" t="inlineStr">
        <is>
          <t>Pig grower</t>
        </is>
      </c>
      <c r="E56" t="n">
        <v>15.9</v>
      </c>
      <c r="F56" t="n">
        <v>41.6</v>
      </c>
      <c r="G56" t="n">
        <v>0</v>
      </c>
      <c r="H56" t="n">
        <v>0</v>
      </c>
      <c r="I56">
        <f>IFERROR(INDEX(P1_PIG_BATCHES!$E:$E,MATCH(B56,P1_PIG_BATCHES!$A:$A,0))-G56-H56,0)</f>
        <v/>
      </c>
      <c r="J56" t="n">
        <v>26.2</v>
      </c>
      <c r="K56" t="inlineStr">
        <is>
          <t>Dry</t>
        </is>
      </c>
      <c r="M56" t="inlineStr">
        <is>
          <t>S01</t>
        </is>
      </c>
    </row>
    <row r="57">
      <c r="A57" t="inlineStr">
        <is>
          <t>2025-12-25</t>
        </is>
      </c>
      <c r="B57" t="inlineStr">
        <is>
          <t>PIG-B01</t>
        </is>
      </c>
      <c r="C57" t="inlineStr">
        <is>
          <t>Pen 1</t>
        </is>
      </c>
      <c r="D57" t="inlineStr">
        <is>
          <t>Pig grower</t>
        </is>
      </c>
      <c r="E57" t="n">
        <v>13.2</v>
      </c>
      <c r="F57" t="n">
        <v>35.4</v>
      </c>
      <c r="G57" t="n">
        <v>0</v>
      </c>
      <c r="H57" t="n">
        <v>0</v>
      </c>
      <c r="I57">
        <f>IFERROR(INDEX(P1_PIG_BATCHES!$E:$E,MATCH(B57,P1_PIG_BATCHES!$A:$A,0))-G57-H57,0)</f>
        <v/>
      </c>
      <c r="J57" t="n">
        <v>26.3</v>
      </c>
      <c r="K57" t="inlineStr">
        <is>
          <t>Dry</t>
        </is>
      </c>
      <c r="M57" t="inlineStr">
        <is>
          <t>S01</t>
        </is>
      </c>
    </row>
    <row r="58">
      <c r="A58" t="inlineStr">
        <is>
          <t>2025-12-26</t>
        </is>
      </c>
      <c r="B58" t="inlineStr">
        <is>
          <t>PIG-B01</t>
        </is>
      </c>
      <c r="C58" t="inlineStr">
        <is>
          <t>Pen 1</t>
        </is>
      </c>
      <c r="D58" t="inlineStr">
        <is>
          <t>Pig grower</t>
        </is>
      </c>
      <c r="E58" t="n">
        <v>14.2</v>
      </c>
      <c r="F58" t="n">
        <v>32.3</v>
      </c>
      <c r="G58" t="n">
        <v>0</v>
      </c>
      <c r="H58" t="n">
        <v>0</v>
      </c>
      <c r="I58">
        <f>IFERROR(INDEX(P1_PIG_BATCHES!$E:$E,MATCH(B58,P1_PIG_BATCHES!$A:$A,0))-G58-H58,0)</f>
        <v/>
      </c>
      <c r="J58" t="n">
        <v>25.2</v>
      </c>
      <c r="K58" t="inlineStr">
        <is>
          <t>Dry</t>
        </is>
      </c>
      <c r="M58" t="inlineStr">
        <is>
          <t>S01</t>
        </is>
      </c>
    </row>
    <row r="59">
      <c r="A59" t="inlineStr">
        <is>
          <t>2025-12-27</t>
        </is>
      </c>
      <c r="B59" t="inlineStr">
        <is>
          <t>PIG-B01</t>
        </is>
      </c>
      <c r="C59" t="inlineStr">
        <is>
          <t>Pen 1</t>
        </is>
      </c>
      <c r="D59" t="inlineStr">
        <is>
          <t>Pig grower</t>
        </is>
      </c>
      <c r="E59" t="n">
        <v>15.4</v>
      </c>
      <c r="F59" t="n">
        <v>39.2</v>
      </c>
      <c r="G59" t="n">
        <v>0</v>
      </c>
      <c r="H59" t="n">
        <v>0</v>
      </c>
      <c r="I59">
        <f>IFERROR(INDEX(P1_PIG_BATCHES!$E:$E,MATCH(B59,P1_PIG_BATCHES!$A:$A,0))-G59-H59,0)</f>
        <v/>
      </c>
      <c r="J59" t="n">
        <v>25.4</v>
      </c>
      <c r="K59" t="inlineStr">
        <is>
          <t>Dry</t>
        </is>
      </c>
      <c r="M59" t="inlineStr">
        <is>
          <t>S01</t>
        </is>
      </c>
    </row>
    <row r="60">
      <c r="A60" t="inlineStr">
        <is>
          <t>2025-12-28</t>
        </is>
      </c>
      <c r="B60" t="inlineStr">
        <is>
          <t>PIG-B01</t>
        </is>
      </c>
      <c r="C60" t="inlineStr">
        <is>
          <t>Pen 1</t>
        </is>
      </c>
      <c r="D60" t="inlineStr">
        <is>
          <t>Pig grower</t>
        </is>
      </c>
      <c r="E60" t="n">
        <v>13.6</v>
      </c>
      <c r="F60" t="n">
        <v>39.3</v>
      </c>
      <c r="G60" t="n">
        <v>0</v>
      </c>
      <c r="H60" t="n">
        <v>0</v>
      </c>
      <c r="I60">
        <f>IFERROR(INDEX(P1_PIG_BATCHES!$E:$E,MATCH(B60,P1_PIG_BATCHES!$A:$A,0))-G60-H60,0)</f>
        <v/>
      </c>
      <c r="J60" t="n">
        <v>22.9</v>
      </c>
      <c r="K60" t="inlineStr">
        <is>
          <t>Dry</t>
        </is>
      </c>
      <c r="M60" t="inlineStr">
        <is>
          <t>S01</t>
        </is>
      </c>
    </row>
    <row r="61">
      <c r="A61" t="inlineStr">
        <is>
          <t>2025-12-29</t>
        </is>
      </c>
      <c r="B61" t="inlineStr">
        <is>
          <t>PIG-B01</t>
        </is>
      </c>
      <c r="C61" t="inlineStr">
        <is>
          <t>Pen 1</t>
        </is>
      </c>
      <c r="D61" t="inlineStr">
        <is>
          <t>Pig grower</t>
        </is>
      </c>
      <c r="E61" t="n">
        <v>14.6</v>
      </c>
      <c r="F61" t="n">
        <v>43.4</v>
      </c>
      <c r="G61" t="n">
        <v>0</v>
      </c>
      <c r="H61" t="n">
        <v>0</v>
      </c>
      <c r="I61">
        <f>IFERROR(INDEX(P1_PIG_BATCHES!$E:$E,MATCH(B61,P1_PIG_BATCHES!$A:$A,0))-G61-H61,0)</f>
        <v/>
      </c>
      <c r="J61" t="n">
        <v>27.2</v>
      </c>
      <c r="K61" t="inlineStr">
        <is>
          <t>Dry</t>
        </is>
      </c>
      <c r="M61" t="inlineStr">
        <is>
          <t>S01</t>
        </is>
      </c>
    </row>
    <row r="62">
      <c r="A62" t="inlineStr">
        <is>
          <t>2025-12-30</t>
        </is>
      </c>
      <c r="B62" t="inlineStr">
        <is>
          <t>PIG-B01</t>
        </is>
      </c>
      <c r="C62" t="inlineStr">
        <is>
          <t>Pen 1</t>
        </is>
      </c>
      <c r="D62" t="inlineStr">
        <is>
          <t>Pig grower</t>
        </is>
      </c>
      <c r="E62" t="n">
        <v>16.2</v>
      </c>
      <c r="F62" t="n">
        <v>40.4</v>
      </c>
      <c r="G62" t="n">
        <v>0</v>
      </c>
      <c r="H62" t="n">
        <v>0</v>
      </c>
      <c r="I62">
        <f>IFERROR(INDEX(P1_PIG_BATCHES!$E:$E,MATCH(B62,P1_PIG_BATCHES!$A:$A,0))-G62-H62,0)</f>
        <v/>
      </c>
      <c r="J62" t="n">
        <v>26.2</v>
      </c>
      <c r="K62" t="inlineStr">
        <is>
          <t>Dry</t>
        </is>
      </c>
      <c r="M62" t="inlineStr">
        <is>
          <t>S01</t>
        </is>
      </c>
    </row>
    <row r="63">
      <c r="A63" t="inlineStr">
        <is>
          <t>2025-12-31</t>
        </is>
      </c>
      <c r="B63" t="inlineStr">
        <is>
          <t>PIG-B01</t>
        </is>
      </c>
      <c r="C63" t="inlineStr">
        <is>
          <t>Pen 1</t>
        </is>
      </c>
      <c r="D63" t="inlineStr">
        <is>
          <t>Pig grower</t>
        </is>
      </c>
      <c r="E63" t="n">
        <v>17.6</v>
      </c>
      <c r="F63" t="n">
        <v>40.9</v>
      </c>
      <c r="G63" t="n">
        <v>0</v>
      </c>
      <c r="H63" t="n">
        <v>0</v>
      </c>
      <c r="I63">
        <f>IFERROR(INDEX(P1_PIG_BATCHES!$E:$E,MATCH(B63,P1_PIG_BATCHES!$A:$A,0))-G63-H63,0)</f>
        <v/>
      </c>
      <c r="J63" t="n">
        <v>24.8</v>
      </c>
      <c r="K63" t="inlineStr">
        <is>
          <t>Dry</t>
        </is>
      </c>
      <c r="M63" t="inlineStr">
        <is>
          <t>S01</t>
        </is>
      </c>
    </row>
    <row r="64">
      <c r="A64" t="inlineStr">
        <is>
          <t>2026-01-01</t>
        </is>
      </c>
      <c r="B64" t="inlineStr">
        <is>
          <t>PIG-B01</t>
        </is>
      </c>
      <c r="C64" t="inlineStr">
        <is>
          <t>Pen 1</t>
        </is>
      </c>
      <c r="D64" t="inlineStr">
        <is>
          <t>Pig grower</t>
        </is>
      </c>
      <c r="E64" t="n">
        <v>14.3</v>
      </c>
      <c r="F64" t="n">
        <v>32.4</v>
      </c>
      <c r="G64" t="n">
        <v>0</v>
      </c>
      <c r="H64" t="n">
        <v>0</v>
      </c>
      <c r="I64">
        <f>IFERROR(INDEX(P1_PIG_BATCHES!$E:$E,MATCH(B64,P1_PIG_BATCHES!$A:$A,0))-G64-H64,0)</f>
        <v/>
      </c>
      <c r="J64" t="n">
        <v>26</v>
      </c>
      <c r="K64" t="inlineStr">
        <is>
          <t>Dry</t>
        </is>
      </c>
      <c r="M64" t="inlineStr">
        <is>
          <t>S01</t>
        </is>
      </c>
    </row>
    <row r="65">
      <c r="A65" t="inlineStr">
        <is>
          <t>2026-01-02</t>
        </is>
      </c>
      <c r="B65" t="inlineStr">
        <is>
          <t>PIG-B01</t>
        </is>
      </c>
      <c r="C65" t="inlineStr">
        <is>
          <t>Pen 1</t>
        </is>
      </c>
      <c r="D65" t="inlineStr">
        <is>
          <t>Pig grower</t>
        </is>
      </c>
      <c r="E65" t="n">
        <v>15.9</v>
      </c>
      <c r="F65" t="n">
        <v>42.2</v>
      </c>
      <c r="G65" t="n">
        <v>0</v>
      </c>
      <c r="H65" t="n">
        <v>0</v>
      </c>
      <c r="I65">
        <f>IFERROR(INDEX(P1_PIG_BATCHES!$E:$E,MATCH(B65,P1_PIG_BATCHES!$A:$A,0))-G65-H65,0)</f>
        <v/>
      </c>
      <c r="J65" t="n">
        <v>24.8</v>
      </c>
      <c r="K65" t="inlineStr">
        <is>
          <t>Dry</t>
        </is>
      </c>
      <c r="M65" t="inlineStr">
        <is>
          <t>S01</t>
        </is>
      </c>
    </row>
    <row r="66">
      <c r="A66" t="inlineStr">
        <is>
          <t>2026-01-03</t>
        </is>
      </c>
      <c r="B66" t="inlineStr">
        <is>
          <t>PIG-B01</t>
        </is>
      </c>
      <c r="C66" t="inlineStr">
        <is>
          <t>Pen 1</t>
        </is>
      </c>
      <c r="D66" t="inlineStr">
        <is>
          <t>Pig grower</t>
        </is>
      </c>
      <c r="E66" t="n">
        <v>18.3</v>
      </c>
      <c r="F66" t="n">
        <v>45.8</v>
      </c>
      <c r="G66" t="n">
        <v>0</v>
      </c>
      <c r="H66" t="n">
        <v>0</v>
      </c>
      <c r="I66">
        <f>IFERROR(INDEX(P1_PIG_BATCHES!$E:$E,MATCH(B66,P1_PIG_BATCHES!$A:$A,0))-G66-H66,0)</f>
        <v/>
      </c>
      <c r="J66" t="n">
        <v>25.9</v>
      </c>
      <c r="K66" t="inlineStr">
        <is>
          <t>Dry</t>
        </is>
      </c>
      <c r="M66" t="inlineStr">
        <is>
          <t>S01</t>
        </is>
      </c>
    </row>
    <row r="67">
      <c r="A67" t="inlineStr">
        <is>
          <t>2026-01-04</t>
        </is>
      </c>
      <c r="B67" t="inlineStr">
        <is>
          <t>PIG-B01</t>
        </is>
      </c>
      <c r="C67" t="inlineStr">
        <is>
          <t>Pen 1</t>
        </is>
      </c>
      <c r="D67" t="inlineStr">
        <is>
          <t>Pig grower</t>
        </is>
      </c>
      <c r="E67" t="n">
        <v>16.8</v>
      </c>
      <c r="F67" t="n">
        <v>42.3</v>
      </c>
      <c r="G67" t="n">
        <v>0</v>
      </c>
      <c r="H67" t="n">
        <v>0</v>
      </c>
      <c r="I67">
        <f>IFERROR(INDEX(P1_PIG_BATCHES!$E:$E,MATCH(B67,P1_PIG_BATCHES!$A:$A,0))-G67-H67,0)</f>
        <v/>
      </c>
      <c r="J67" t="n">
        <v>25.1</v>
      </c>
      <c r="K67" t="inlineStr">
        <is>
          <t>Dry</t>
        </is>
      </c>
      <c r="M67" t="inlineStr">
        <is>
          <t>S01</t>
        </is>
      </c>
    </row>
    <row r="68">
      <c r="A68" t="inlineStr">
        <is>
          <t>2026-01-05</t>
        </is>
      </c>
      <c r="B68" t="inlineStr">
        <is>
          <t>PIG-B01</t>
        </is>
      </c>
      <c r="C68" t="inlineStr">
        <is>
          <t>Pen 1</t>
        </is>
      </c>
      <c r="D68" t="inlineStr">
        <is>
          <t>Pig grower</t>
        </is>
      </c>
      <c r="E68" t="n">
        <v>15.4</v>
      </c>
      <c r="F68" t="n">
        <v>42.9</v>
      </c>
      <c r="G68" t="n">
        <v>0</v>
      </c>
      <c r="H68" t="n">
        <v>0</v>
      </c>
      <c r="I68">
        <f>IFERROR(INDEX(P1_PIG_BATCHES!$E:$E,MATCH(B68,P1_PIG_BATCHES!$A:$A,0))-G68-H68,0)</f>
        <v/>
      </c>
      <c r="J68" t="n">
        <v>24</v>
      </c>
      <c r="K68" t="inlineStr">
        <is>
          <t>Dry</t>
        </is>
      </c>
      <c r="M68" t="inlineStr">
        <is>
          <t>S01</t>
        </is>
      </c>
    </row>
    <row r="69">
      <c r="A69" t="inlineStr">
        <is>
          <t>2026-01-06</t>
        </is>
      </c>
      <c r="B69" t="inlineStr">
        <is>
          <t>PIG-B01</t>
        </is>
      </c>
      <c r="C69" t="inlineStr">
        <is>
          <t>Pen 1</t>
        </is>
      </c>
      <c r="D69" t="inlineStr">
        <is>
          <t>Pig grower</t>
        </is>
      </c>
      <c r="E69" t="n">
        <v>17.4</v>
      </c>
      <c r="F69" t="n">
        <v>42</v>
      </c>
      <c r="G69" t="n">
        <v>0</v>
      </c>
      <c r="H69" t="n">
        <v>0</v>
      </c>
      <c r="I69">
        <f>IFERROR(INDEX(P1_PIG_BATCHES!$E:$E,MATCH(B69,P1_PIG_BATCHES!$A:$A,0))-G69-H69,0)</f>
        <v/>
      </c>
      <c r="J69" t="n">
        <v>22.3</v>
      </c>
      <c r="K69" t="inlineStr">
        <is>
          <t>Dry</t>
        </is>
      </c>
      <c r="M69" t="inlineStr">
        <is>
          <t>S01</t>
        </is>
      </c>
    </row>
    <row r="70">
      <c r="A70" t="inlineStr">
        <is>
          <t>2026-01-07</t>
        </is>
      </c>
      <c r="B70" t="inlineStr">
        <is>
          <t>PIG-B01</t>
        </is>
      </c>
      <c r="C70" t="inlineStr">
        <is>
          <t>Pen 1</t>
        </is>
      </c>
      <c r="D70" t="inlineStr">
        <is>
          <t>Pig grower</t>
        </is>
      </c>
      <c r="E70" t="n">
        <v>19.4</v>
      </c>
      <c r="F70" t="n">
        <v>47.2</v>
      </c>
      <c r="G70" t="n">
        <v>0</v>
      </c>
      <c r="H70" t="n">
        <v>0</v>
      </c>
      <c r="I70">
        <f>IFERROR(INDEX(P1_PIG_BATCHES!$E:$E,MATCH(B70,P1_PIG_BATCHES!$A:$A,0))-G70-H70,0)</f>
        <v/>
      </c>
      <c r="J70" t="n">
        <v>27</v>
      </c>
      <c r="K70" t="inlineStr">
        <is>
          <t>Dry</t>
        </is>
      </c>
      <c r="M70" t="inlineStr">
        <is>
          <t>S01</t>
        </is>
      </c>
    </row>
    <row r="71">
      <c r="A71" t="inlineStr">
        <is>
          <t>2026-01-08</t>
        </is>
      </c>
      <c r="B71" t="inlineStr">
        <is>
          <t>PIG-B01</t>
        </is>
      </c>
      <c r="C71" t="inlineStr">
        <is>
          <t>Pen 1</t>
        </is>
      </c>
      <c r="D71" t="inlineStr">
        <is>
          <t>Pig grower</t>
        </is>
      </c>
      <c r="E71" t="n">
        <v>16</v>
      </c>
      <c r="F71" t="n">
        <v>46</v>
      </c>
      <c r="G71" t="n">
        <v>0</v>
      </c>
      <c r="H71" t="n">
        <v>0</v>
      </c>
      <c r="I71">
        <f>IFERROR(INDEX(P1_PIG_BATCHES!$E:$E,MATCH(B71,P1_PIG_BATCHES!$A:$A,0))-G71-H71,0)</f>
        <v/>
      </c>
      <c r="J71" t="n">
        <v>23.7</v>
      </c>
      <c r="K71" t="inlineStr">
        <is>
          <t>Dry</t>
        </is>
      </c>
      <c r="M71" t="inlineStr">
        <is>
          <t>S01</t>
        </is>
      </c>
    </row>
    <row r="72">
      <c r="A72" t="inlineStr">
        <is>
          <t>2026-01-09</t>
        </is>
      </c>
      <c r="B72" t="inlineStr">
        <is>
          <t>PIG-B01</t>
        </is>
      </c>
      <c r="C72" t="inlineStr">
        <is>
          <t>Pen 1</t>
        </is>
      </c>
      <c r="D72" t="inlineStr">
        <is>
          <t>Pig grower</t>
        </is>
      </c>
      <c r="E72" t="n">
        <v>17.5</v>
      </c>
      <c r="F72" t="n">
        <v>39.9</v>
      </c>
      <c r="G72" t="n">
        <v>0</v>
      </c>
      <c r="H72" t="n">
        <v>0</v>
      </c>
      <c r="I72">
        <f>IFERROR(INDEX(P1_PIG_BATCHES!$E:$E,MATCH(B72,P1_PIG_BATCHES!$A:$A,0))-G72-H72,0)</f>
        <v/>
      </c>
      <c r="J72" t="n">
        <v>25.3</v>
      </c>
      <c r="K72" t="inlineStr">
        <is>
          <t>Dry</t>
        </is>
      </c>
      <c r="M72" t="inlineStr">
        <is>
          <t>S01</t>
        </is>
      </c>
    </row>
    <row r="73">
      <c r="A73" t="inlineStr">
        <is>
          <t>2026-01-10</t>
        </is>
      </c>
      <c r="B73" t="inlineStr">
        <is>
          <t>PIG-B01</t>
        </is>
      </c>
      <c r="C73" t="inlineStr">
        <is>
          <t>Pen 1</t>
        </is>
      </c>
      <c r="D73" t="inlineStr">
        <is>
          <t>Pig grower</t>
        </is>
      </c>
      <c r="E73" t="n">
        <v>17.2</v>
      </c>
      <c r="F73" t="n">
        <v>42.7</v>
      </c>
      <c r="G73" t="n">
        <v>0</v>
      </c>
      <c r="H73" t="n">
        <v>0</v>
      </c>
      <c r="I73">
        <f>IFERROR(INDEX(P1_PIG_BATCHES!$E:$E,MATCH(B73,P1_PIG_BATCHES!$A:$A,0))-G73-H73,0)</f>
        <v/>
      </c>
      <c r="J73" t="n">
        <v>20.9</v>
      </c>
      <c r="K73" t="inlineStr">
        <is>
          <t>Dry</t>
        </is>
      </c>
      <c r="M73" t="inlineStr">
        <is>
          <t>S01</t>
        </is>
      </c>
    </row>
    <row r="74">
      <c r="A74" t="inlineStr">
        <is>
          <t>2026-01-11</t>
        </is>
      </c>
      <c r="B74" t="inlineStr">
        <is>
          <t>PIG-B01</t>
        </is>
      </c>
      <c r="C74" t="inlineStr">
        <is>
          <t>Pen 1</t>
        </is>
      </c>
      <c r="D74" t="inlineStr">
        <is>
          <t>Pig finisher</t>
        </is>
      </c>
      <c r="E74" t="n">
        <v>19.9</v>
      </c>
      <c r="F74" t="n">
        <v>57.2</v>
      </c>
      <c r="G74" t="n">
        <v>0</v>
      </c>
      <c r="H74" t="n">
        <v>0</v>
      </c>
      <c r="I74">
        <f>IFERROR(INDEX(P1_PIG_BATCHES!$E:$E,MATCH(B74,P1_PIG_BATCHES!$A:$A,0))-G74-H74,0)</f>
        <v/>
      </c>
      <c r="J74" t="n">
        <v>25.5</v>
      </c>
      <c r="K74" t="inlineStr">
        <is>
          <t>Dry</t>
        </is>
      </c>
      <c r="M74" t="inlineStr">
        <is>
          <t>S01</t>
        </is>
      </c>
    </row>
    <row r="75">
      <c r="A75" t="inlineStr">
        <is>
          <t>2026-01-12</t>
        </is>
      </c>
      <c r="B75" t="inlineStr">
        <is>
          <t>PIG-B01</t>
        </is>
      </c>
      <c r="C75" t="inlineStr">
        <is>
          <t>Pen 1</t>
        </is>
      </c>
      <c r="D75" t="inlineStr">
        <is>
          <t>Pig finisher</t>
        </is>
      </c>
      <c r="E75" t="n">
        <v>19</v>
      </c>
      <c r="F75" t="n">
        <v>53.8</v>
      </c>
      <c r="G75" t="n">
        <v>0</v>
      </c>
      <c r="H75" t="n">
        <v>0</v>
      </c>
      <c r="I75">
        <f>IFERROR(INDEX(P1_PIG_BATCHES!$E:$E,MATCH(B75,P1_PIG_BATCHES!$A:$A,0))-G75-H75,0)</f>
        <v/>
      </c>
      <c r="J75" t="n">
        <v>24.1</v>
      </c>
      <c r="K75" t="inlineStr">
        <is>
          <t>Dry</t>
        </is>
      </c>
      <c r="M75" t="inlineStr">
        <is>
          <t>S01</t>
        </is>
      </c>
    </row>
    <row r="76">
      <c r="A76" t="inlineStr">
        <is>
          <t>2026-01-13</t>
        </is>
      </c>
      <c r="B76" t="inlineStr">
        <is>
          <t>PIG-B01</t>
        </is>
      </c>
      <c r="C76" t="inlineStr">
        <is>
          <t>Pen 1</t>
        </is>
      </c>
      <c r="D76" t="inlineStr">
        <is>
          <t>Pig finisher</t>
        </is>
      </c>
      <c r="E76" t="n">
        <v>17.3</v>
      </c>
      <c r="F76" t="n">
        <v>40.1</v>
      </c>
      <c r="G76" t="n">
        <v>0</v>
      </c>
      <c r="H76" t="n">
        <v>0</v>
      </c>
      <c r="I76">
        <f>IFERROR(INDEX(P1_PIG_BATCHES!$E:$E,MATCH(B76,P1_PIG_BATCHES!$A:$A,0))-G76-H76,0)</f>
        <v/>
      </c>
      <c r="J76" t="n">
        <v>26.1</v>
      </c>
      <c r="K76" t="inlineStr">
        <is>
          <t>Dry</t>
        </is>
      </c>
      <c r="M76" t="inlineStr">
        <is>
          <t>S01</t>
        </is>
      </c>
    </row>
    <row r="77">
      <c r="A77" t="inlineStr">
        <is>
          <t>2026-01-14</t>
        </is>
      </c>
      <c r="B77" t="inlineStr">
        <is>
          <t>PIG-B01</t>
        </is>
      </c>
      <c r="C77" t="inlineStr">
        <is>
          <t>Pen 1</t>
        </is>
      </c>
      <c r="D77" t="inlineStr">
        <is>
          <t>Pig finisher</t>
        </is>
      </c>
      <c r="E77" t="n">
        <v>19.1</v>
      </c>
      <c r="F77" t="n">
        <v>47.7</v>
      </c>
      <c r="G77" t="n">
        <v>0</v>
      </c>
      <c r="H77" t="n">
        <v>0</v>
      </c>
      <c r="I77">
        <f>IFERROR(INDEX(P1_PIG_BATCHES!$E:$E,MATCH(B77,P1_PIG_BATCHES!$A:$A,0))-G77-H77,0)</f>
        <v/>
      </c>
      <c r="J77" t="n">
        <v>26.2</v>
      </c>
      <c r="K77" t="inlineStr">
        <is>
          <t>Dry</t>
        </is>
      </c>
      <c r="M77" t="inlineStr">
        <is>
          <t>S01</t>
        </is>
      </c>
    </row>
    <row r="78">
      <c r="A78" t="inlineStr">
        <is>
          <t>2026-01-15</t>
        </is>
      </c>
      <c r="B78" t="inlineStr">
        <is>
          <t>PIG-B01</t>
        </is>
      </c>
      <c r="C78" t="inlineStr">
        <is>
          <t>Pen 1</t>
        </is>
      </c>
      <c r="D78" t="inlineStr">
        <is>
          <t>Pig finisher</t>
        </is>
      </c>
      <c r="E78" t="n">
        <v>19.6</v>
      </c>
      <c r="F78" t="n">
        <v>44.6</v>
      </c>
      <c r="G78" t="n">
        <v>0</v>
      </c>
      <c r="H78" t="n">
        <v>0</v>
      </c>
      <c r="I78">
        <f>IFERROR(INDEX(P1_PIG_BATCHES!$E:$E,MATCH(B78,P1_PIG_BATCHES!$A:$A,0))-G78-H78,0)</f>
        <v/>
      </c>
      <c r="J78" t="n">
        <v>22.6</v>
      </c>
      <c r="K78" t="inlineStr">
        <is>
          <t>Dry</t>
        </is>
      </c>
      <c r="M78" t="inlineStr">
        <is>
          <t>S01</t>
        </is>
      </c>
    </row>
    <row r="79">
      <c r="A79" t="inlineStr">
        <is>
          <t>2026-01-16</t>
        </is>
      </c>
      <c r="B79" t="inlineStr">
        <is>
          <t>PIG-B01</t>
        </is>
      </c>
      <c r="C79" t="inlineStr">
        <is>
          <t>Pen 1</t>
        </is>
      </c>
      <c r="D79" t="inlineStr">
        <is>
          <t>Pig finisher</t>
        </is>
      </c>
      <c r="E79" t="n">
        <v>20.3</v>
      </c>
      <c r="F79" t="n">
        <v>53.2</v>
      </c>
      <c r="G79" t="n">
        <v>0</v>
      </c>
      <c r="H79" t="n">
        <v>0</v>
      </c>
      <c r="I79">
        <f>IFERROR(INDEX(P1_PIG_BATCHES!$E:$E,MATCH(B79,P1_PIG_BATCHES!$A:$A,0))-G79-H79,0)</f>
        <v/>
      </c>
      <c r="J79" t="n">
        <v>25.9</v>
      </c>
      <c r="K79" t="inlineStr">
        <is>
          <t>Dry</t>
        </is>
      </c>
      <c r="M79" t="inlineStr">
        <is>
          <t>S01</t>
        </is>
      </c>
    </row>
    <row r="80">
      <c r="A80" t="inlineStr">
        <is>
          <t>2026-01-17</t>
        </is>
      </c>
      <c r="B80" t="inlineStr">
        <is>
          <t>PIG-B01</t>
        </is>
      </c>
      <c r="C80" t="inlineStr">
        <is>
          <t>Pen 1</t>
        </is>
      </c>
      <c r="D80" t="inlineStr">
        <is>
          <t>Pig finisher</t>
        </is>
      </c>
      <c r="E80" t="n">
        <v>17.5</v>
      </c>
      <c r="F80" t="n">
        <v>51.9</v>
      </c>
      <c r="G80" t="n">
        <v>0</v>
      </c>
      <c r="H80" t="n">
        <v>0</v>
      </c>
      <c r="I80">
        <f>IFERROR(INDEX(P1_PIG_BATCHES!$E:$E,MATCH(B80,P1_PIG_BATCHES!$A:$A,0))-G80-H80,0)</f>
        <v/>
      </c>
      <c r="J80" t="n">
        <v>25</v>
      </c>
      <c r="K80" t="inlineStr">
        <is>
          <t>Dry</t>
        </is>
      </c>
      <c r="M80" t="inlineStr">
        <is>
          <t>S01</t>
        </is>
      </c>
    </row>
    <row r="81">
      <c r="A81" t="inlineStr">
        <is>
          <t>2026-01-18</t>
        </is>
      </c>
      <c r="B81" t="inlineStr">
        <is>
          <t>PIG-B01</t>
        </is>
      </c>
      <c r="C81" t="inlineStr">
        <is>
          <t>Pen 1</t>
        </is>
      </c>
      <c r="D81" t="inlineStr">
        <is>
          <t>Pig finisher</t>
        </is>
      </c>
      <c r="E81" t="n">
        <v>20.5</v>
      </c>
      <c r="F81" t="n">
        <v>50.8</v>
      </c>
      <c r="G81" t="n">
        <v>0</v>
      </c>
      <c r="H81" t="n">
        <v>0</v>
      </c>
      <c r="I81">
        <f>IFERROR(INDEX(P1_PIG_BATCHES!$E:$E,MATCH(B81,P1_PIG_BATCHES!$A:$A,0))-G81-H81,0)</f>
        <v/>
      </c>
      <c r="J81" t="n">
        <v>26.7</v>
      </c>
      <c r="K81" t="inlineStr">
        <is>
          <t>Dry</t>
        </is>
      </c>
      <c r="M81" t="inlineStr">
        <is>
          <t>S01</t>
        </is>
      </c>
    </row>
    <row r="82">
      <c r="A82" t="inlineStr">
        <is>
          <t>2026-01-19</t>
        </is>
      </c>
      <c r="B82" t="inlineStr">
        <is>
          <t>PIG-B01</t>
        </is>
      </c>
      <c r="C82" t="inlineStr">
        <is>
          <t>Pen 1</t>
        </is>
      </c>
      <c r="D82" t="inlineStr">
        <is>
          <t>Pig finisher</t>
        </is>
      </c>
      <c r="E82" t="n">
        <v>20.5</v>
      </c>
      <c r="F82" t="n">
        <v>48.2</v>
      </c>
      <c r="G82" t="n">
        <v>0</v>
      </c>
      <c r="H82" t="n">
        <v>0</v>
      </c>
      <c r="I82">
        <f>IFERROR(INDEX(P1_PIG_BATCHES!$E:$E,MATCH(B82,P1_PIG_BATCHES!$A:$A,0))-G82-H82,0)</f>
        <v/>
      </c>
      <c r="J82" t="n">
        <v>27.4</v>
      </c>
      <c r="K82" t="inlineStr">
        <is>
          <t>Dry</t>
        </is>
      </c>
      <c r="M82" t="inlineStr">
        <is>
          <t>S01</t>
        </is>
      </c>
    </row>
    <row r="83">
      <c r="A83" t="inlineStr">
        <is>
          <t>2026-01-20</t>
        </is>
      </c>
      <c r="B83" t="inlineStr">
        <is>
          <t>PIG-B01</t>
        </is>
      </c>
      <c r="C83" t="inlineStr">
        <is>
          <t>Pen 1</t>
        </is>
      </c>
      <c r="D83" t="inlineStr">
        <is>
          <t>Pig finisher</t>
        </is>
      </c>
      <c r="E83" t="n">
        <v>22.1</v>
      </c>
      <c r="F83" t="n">
        <v>49.8</v>
      </c>
      <c r="G83" t="n">
        <v>0</v>
      </c>
      <c r="H83" t="n">
        <v>0</v>
      </c>
      <c r="I83">
        <f>IFERROR(INDEX(P1_PIG_BATCHES!$E:$E,MATCH(B83,P1_PIG_BATCHES!$A:$A,0))-G83-H83,0)</f>
        <v/>
      </c>
      <c r="J83" t="n">
        <v>21.3</v>
      </c>
      <c r="K83" t="inlineStr">
        <is>
          <t>Dry</t>
        </is>
      </c>
      <c r="M83" t="inlineStr">
        <is>
          <t>S01</t>
        </is>
      </c>
    </row>
    <row r="84">
      <c r="A84" t="inlineStr">
        <is>
          <t>2026-01-21</t>
        </is>
      </c>
      <c r="B84" t="inlineStr">
        <is>
          <t>PIG-B01</t>
        </is>
      </c>
      <c r="C84" t="inlineStr">
        <is>
          <t>Pen 1</t>
        </is>
      </c>
      <c r="D84" t="inlineStr">
        <is>
          <t>Pig finisher</t>
        </is>
      </c>
      <c r="E84" t="n">
        <v>18.7</v>
      </c>
      <c r="F84" t="n">
        <v>46</v>
      </c>
      <c r="G84" t="n">
        <v>0</v>
      </c>
      <c r="H84" t="n">
        <v>0</v>
      </c>
      <c r="I84">
        <f>IFERROR(INDEX(P1_PIG_BATCHES!$E:$E,MATCH(B84,P1_PIG_BATCHES!$A:$A,0))-G84-H84,0)</f>
        <v/>
      </c>
      <c r="J84" t="n">
        <v>25.5</v>
      </c>
      <c r="K84" t="inlineStr">
        <is>
          <t>Dry</t>
        </is>
      </c>
      <c r="M84" t="inlineStr">
        <is>
          <t>S01</t>
        </is>
      </c>
    </row>
    <row r="85">
      <c r="A85" t="inlineStr">
        <is>
          <t>2026-01-22</t>
        </is>
      </c>
      <c r="B85" t="inlineStr">
        <is>
          <t>PIG-B01</t>
        </is>
      </c>
      <c r="C85" t="inlineStr">
        <is>
          <t>Pen 1</t>
        </is>
      </c>
      <c r="D85" t="inlineStr">
        <is>
          <t>Pig finisher</t>
        </is>
      </c>
      <c r="E85" t="n">
        <v>22.7</v>
      </c>
      <c r="F85" t="n">
        <v>66</v>
      </c>
      <c r="G85" t="n">
        <v>0</v>
      </c>
      <c r="H85" t="n">
        <v>0</v>
      </c>
      <c r="I85">
        <f>IFERROR(INDEX(P1_PIG_BATCHES!$E:$E,MATCH(B85,P1_PIG_BATCHES!$A:$A,0))-G85-H85,0)</f>
        <v/>
      </c>
      <c r="J85" t="n">
        <v>26.5</v>
      </c>
      <c r="K85" t="inlineStr">
        <is>
          <t>Dry</t>
        </is>
      </c>
      <c r="M85" t="inlineStr">
        <is>
          <t>S01</t>
        </is>
      </c>
    </row>
    <row r="86">
      <c r="A86" t="inlineStr">
        <is>
          <t>2026-01-23</t>
        </is>
      </c>
      <c r="B86" t="inlineStr">
        <is>
          <t>PIG-B01</t>
        </is>
      </c>
      <c r="C86" t="inlineStr">
        <is>
          <t>Pen 1</t>
        </is>
      </c>
      <c r="D86" t="inlineStr">
        <is>
          <t>Pig finisher</t>
        </is>
      </c>
      <c r="E86" t="n">
        <v>21.4</v>
      </c>
      <c r="F86" t="n">
        <v>56.5</v>
      </c>
      <c r="G86" t="n">
        <v>0</v>
      </c>
      <c r="H86" t="n">
        <v>0</v>
      </c>
      <c r="I86">
        <f>IFERROR(INDEX(P1_PIG_BATCHES!$E:$E,MATCH(B86,P1_PIG_BATCHES!$A:$A,0))-G86-H86,0)</f>
        <v/>
      </c>
      <c r="J86" t="n">
        <v>21.3</v>
      </c>
      <c r="K86" t="inlineStr">
        <is>
          <t>Dry</t>
        </is>
      </c>
      <c r="M86" t="inlineStr">
        <is>
          <t>S01</t>
        </is>
      </c>
    </row>
    <row r="87">
      <c r="A87" t="inlineStr">
        <is>
          <t>2026-01-24</t>
        </is>
      </c>
      <c r="B87" t="inlineStr">
        <is>
          <t>PIG-B01</t>
        </is>
      </c>
      <c r="C87" t="inlineStr">
        <is>
          <t>Pen 1</t>
        </is>
      </c>
      <c r="D87" t="inlineStr">
        <is>
          <t>Pig finisher</t>
        </is>
      </c>
      <c r="E87" t="n">
        <v>21.1</v>
      </c>
      <c r="F87" t="n">
        <v>54.9</v>
      </c>
      <c r="G87" t="n">
        <v>0</v>
      </c>
      <c r="H87" t="n">
        <v>0</v>
      </c>
      <c r="I87">
        <f>IFERROR(INDEX(P1_PIG_BATCHES!$E:$E,MATCH(B87,P1_PIG_BATCHES!$A:$A,0))-G87-H87,0)</f>
        <v/>
      </c>
      <c r="J87" t="n">
        <v>21.6</v>
      </c>
      <c r="K87" t="inlineStr">
        <is>
          <t>Dry</t>
        </is>
      </c>
      <c r="M87" t="inlineStr">
        <is>
          <t>S01</t>
        </is>
      </c>
    </row>
    <row r="88">
      <c r="A88" t="inlineStr">
        <is>
          <t>2026-01-25</t>
        </is>
      </c>
      <c r="B88" t="inlineStr">
        <is>
          <t>PIG-B01</t>
        </is>
      </c>
      <c r="C88" t="inlineStr">
        <is>
          <t>Pen 1</t>
        </is>
      </c>
      <c r="D88" t="inlineStr">
        <is>
          <t>Pig finisher</t>
        </is>
      </c>
      <c r="E88" t="n">
        <v>19.4</v>
      </c>
      <c r="F88" t="n">
        <v>52.8</v>
      </c>
      <c r="G88" t="n">
        <v>0</v>
      </c>
      <c r="H88" t="n">
        <v>0</v>
      </c>
      <c r="I88">
        <f>IFERROR(INDEX(P1_PIG_BATCHES!$E:$E,MATCH(B88,P1_PIG_BATCHES!$A:$A,0))-G88-H88,0)</f>
        <v/>
      </c>
      <c r="J88" t="n">
        <v>25.6</v>
      </c>
      <c r="K88" t="inlineStr">
        <is>
          <t>Dry</t>
        </is>
      </c>
      <c r="M88" t="inlineStr">
        <is>
          <t>S01</t>
        </is>
      </c>
    </row>
    <row r="89">
      <c r="A89" t="inlineStr">
        <is>
          <t>2026-01-26</t>
        </is>
      </c>
      <c r="B89" t="inlineStr">
        <is>
          <t>PIG-B01</t>
        </is>
      </c>
      <c r="C89" t="inlineStr">
        <is>
          <t>Pen 1</t>
        </is>
      </c>
      <c r="D89" t="inlineStr">
        <is>
          <t>Pig finisher</t>
        </is>
      </c>
      <c r="E89" t="n">
        <v>23.1</v>
      </c>
      <c r="F89" t="n">
        <v>61.2</v>
      </c>
      <c r="G89" t="n">
        <v>0</v>
      </c>
      <c r="H89" t="n">
        <v>0</v>
      </c>
      <c r="I89">
        <f>IFERROR(INDEX(P1_PIG_BATCHES!$E:$E,MATCH(B89,P1_PIG_BATCHES!$A:$A,0))-G89-H89,0)</f>
        <v/>
      </c>
      <c r="J89" t="n">
        <v>26.3</v>
      </c>
      <c r="K89" t="inlineStr">
        <is>
          <t>Dry</t>
        </is>
      </c>
      <c r="M89" t="inlineStr">
        <is>
          <t>S01</t>
        </is>
      </c>
    </row>
    <row r="90">
      <c r="A90" t="inlineStr">
        <is>
          <t>2026-01-27</t>
        </is>
      </c>
      <c r="B90" t="inlineStr">
        <is>
          <t>PIG-B01</t>
        </is>
      </c>
      <c r="C90" t="inlineStr">
        <is>
          <t>Pen 1</t>
        </is>
      </c>
      <c r="D90" t="inlineStr">
        <is>
          <t>Pig finisher</t>
        </is>
      </c>
      <c r="E90" t="n">
        <v>19.2</v>
      </c>
      <c r="F90" t="n">
        <v>52</v>
      </c>
      <c r="G90" t="n">
        <v>0</v>
      </c>
      <c r="H90" t="n">
        <v>0</v>
      </c>
      <c r="I90">
        <f>IFERROR(INDEX(P1_PIG_BATCHES!$E:$E,MATCH(B90,P1_PIG_BATCHES!$A:$A,0))-G90-H90,0)</f>
        <v/>
      </c>
      <c r="J90" t="n">
        <v>24.6</v>
      </c>
      <c r="K90" t="inlineStr">
        <is>
          <t>Dry</t>
        </is>
      </c>
      <c r="M90" t="inlineStr">
        <is>
          <t>S01</t>
        </is>
      </c>
    </row>
    <row r="91">
      <c r="A91" t="inlineStr">
        <is>
          <t>2026-01-28</t>
        </is>
      </c>
      <c r="B91" t="inlineStr">
        <is>
          <t>PIG-B01</t>
        </is>
      </c>
      <c r="C91" t="inlineStr">
        <is>
          <t>Pen 1</t>
        </is>
      </c>
      <c r="D91" t="inlineStr">
        <is>
          <t>Pig finisher</t>
        </is>
      </c>
      <c r="E91" t="n">
        <v>23.2</v>
      </c>
      <c r="F91" t="n">
        <v>58.8</v>
      </c>
      <c r="G91" t="n">
        <v>0</v>
      </c>
      <c r="H91" t="n">
        <v>0</v>
      </c>
      <c r="I91">
        <f>IFERROR(INDEX(P1_PIG_BATCHES!$E:$E,MATCH(B91,P1_PIG_BATCHES!$A:$A,0))-G91-H91,0)</f>
        <v/>
      </c>
      <c r="J91" t="n">
        <v>25</v>
      </c>
      <c r="K91" t="inlineStr">
        <is>
          <t>Dry</t>
        </is>
      </c>
      <c r="M91" t="inlineStr">
        <is>
          <t>S01</t>
        </is>
      </c>
    </row>
    <row r="92">
      <c r="A92" t="inlineStr">
        <is>
          <t>2026-01-29</t>
        </is>
      </c>
      <c r="B92" t="inlineStr">
        <is>
          <t>PIG-B01</t>
        </is>
      </c>
      <c r="C92" t="inlineStr">
        <is>
          <t>Pen 1</t>
        </is>
      </c>
      <c r="D92" t="inlineStr">
        <is>
          <t>Pig finisher</t>
        </is>
      </c>
      <c r="E92" t="n">
        <v>22.7</v>
      </c>
      <c r="F92" t="n">
        <v>55.3</v>
      </c>
      <c r="G92" t="n">
        <v>0</v>
      </c>
      <c r="H92" t="n">
        <v>0</v>
      </c>
      <c r="I92">
        <f>IFERROR(INDEX(P1_PIG_BATCHES!$E:$E,MATCH(B92,P1_PIG_BATCHES!$A:$A,0))-G92-H92,0)</f>
        <v/>
      </c>
      <c r="J92" t="n">
        <v>27.3</v>
      </c>
      <c r="K92" t="inlineStr">
        <is>
          <t>Dry</t>
        </is>
      </c>
      <c r="M92" t="inlineStr">
        <is>
          <t>S01</t>
        </is>
      </c>
    </row>
    <row r="93">
      <c r="A93" t="inlineStr">
        <is>
          <t>2026-01-30</t>
        </is>
      </c>
      <c r="B93" t="inlineStr">
        <is>
          <t>PIG-B01</t>
        </is>
      </c>
      <c r="C93" t="inlineStr">
        <is>
          <t>Pen 1</t>
        </is>
      </c>
      <c r="D93" t="inlineStr">
        <is>
          <t>Pig finisher</t>
        </is>
      </c>
      <c r="E93" t="n">
        <v>23.8</v>
      </c>
      <c r="F93" t="n">
        <v>65.3</v>
      </c>
      <c r="G93" t="n">
        <v>0</v>
      </c>
      <c r="H93" t="n">
        <v>0</v>
      </c>
      <c r="I93">
        <f>IFERROR(INDEX(P1_PIG_BATCHES!$E:$E,MATCH(B93,P1_PIG_BATCHES!$A:$A,0))-G93-H93,0)</f>
        <v/>
      </c>
      <c r="J93" t="n">
        <v>22.5</v>
      </c>
      <c r="K93" t="inlineStr">
        <is>
          <t>Dry</t>
        </is>
      </c>
      <c r="M93" t="inlineStr">
        <is>
          <t>S01</t>
        </is>
      </c>
    </row>
    <row r="94">
      <c r="A94" t="inlineStr">
        <is>
          <t>2026-01-31</t>
        </is>
      </c>
      <c r="B94" t="inlineStr">
        <is>
          <t>PIG-B01</t>
        </is>
      </c>
      <c r="C94" t="inlineStr">
        <is>
          <t>Pen 1</t>
        </is>
      </c>
      <c r="D94" t="inlineStr">
        <is>
          <t>Pig finisher</t>
        </is>
      </c>
      <c r="E94" t="n">
        <v>20</v>
      </c>
      <c r="F94" t="n">
        <v>51.1</v>
      </c>
      <c r="G94" t="n">
        <v>0</v>
      </c>
      <c r="H94" t="n">
        <v>0</v>
      </c>
      <c r="I94">
        <f>IFERROR(INDEX(P1_PIG_BATCHES!$E:$E,MATCH(B94,P1_PIG_BATCHES!$A:$A,0))-G94-H94,0)</f>
        <v/>
      </c>
      <c r="J94" t="n">
        <v>23.9</v>
      </c>
      <c r="K94" t="inlineStr">
        <is>
          <t>Dry</t>
        </is>
      </c>
      <c r="M94" t="inlineStr">
        <is>
          <t>S01</t>
        </is>
      </c>
    </row>
    <row r="95">
      <c r="A95" t="inlineStr">
        <is>
          <t>2026-02-01</t>
        </is>
      </c>
      <c r="B95" t="inlineStr">
        <is>
          <t>PIG-B01</t>
        </is>
      </c>
      <c r="C95" t="inlineStr">
        <is>
          <t>Pen 1</t>
        </is>
      </c>
      <c r="D95" t="inlineStr">
        <is>
          <t>Pig finisher</t>
        </is>
      </c>
      <c r="E95" t="n">
        <v>23.2</v>
      </c>
      <c r="F95" t="n">
        <v>56.9</v>
      </c>
      <c r="G95" t="n">
        <v>0</v>
      </c>
      <c r="H95" t="n">
        <v>0</v>
      </c>
      <c r="I95">
        <f>IFERROR(INDEX(P1_PIG_BATCHES!$E:$E,MATCH(B95,P1_PIG_BATCHES!$A:$A,0))-G95-H95,0)</f>
        <v/>
      </c>
      <c r="J95" t="n">
        <v>25.6</v>
      </c>
      <c r="K95" t="inlineStr">
        <is>
          <t>Dry</t>
        </is>
      </c>
      <c r="M95" t="inlineStr">
        <is>
          <t>S01</t>
        </is>
      </c>
    </row>
    <row r="96">
      <c r="A96" t="inlineStr">
        <is>
          <t>2026-02-02</t>
        </is>
      </c>
      <c r="B96" t="inlineStr">
        <is>
          <t>PIG-B01</t>
        </is>
      </c>
      <c r="C96" t="inlineStr">
        <is>
          <t>Pen 1</t>
        </is>
      </c>
      <c r="D96" t="inlineStr">
        <is>
          <t>Pig finisher</t>
        </is>
      </c>
      <c r="E96" t="n">
        <v>24.8</v>
      </c>
      <c r="F96" t="n">
        <v>73.7</v>
      </c>
      <c r="G96" t="n">
        <v>0</v>
      </c>
      <c r="H96" t="n">
        <v>0</v>
      </c>
      <c r="I96">
        <f>IFERROR(INDEX(P1_PIG_BATCHES!$E:$E,MATCH(B96,P1_PIG_BATCHES!$A:$A,0))-G96-H96,0)</f>
        <v/>
      </c>
      <c r="J96" t="n">
        <v>21.3</v>
      </c>
      <c r="K96" t="inlineStr">
        <is>
          <t>Dry</t>
        </is>
      </c>
      <c r="M96" t="inlineStr">
        <is>
          <t>S01</t>
        </is>
      </c>
    </row>
    <row r="97">
      <c r="A97" t="inlineStr">
        <is>
          <t>2026-02-03</t>
        </is>
      </c>
      <c r="B97" t="inlineStr">
        <is>
          <t>PIG-B01</t>
        </is>
      </c>
      <c r="C97" t="inlineStr">
        <is>
          <t>Pen 1</t>
        </is>
      </c>
      <c r="D97" t="inlineStr">
        <is>
          <t>Pig finisher</t>
        </is>
      </c>
      <c r="E97" t="n">
        <v>23.4</v>
      </c>
      <c r="F97" t="n">
        <v>57.5</v>
      </c>
      <c r="G97" t="n">
        <v>0</v>
      </c>
      <c r="H97" t="n">
        <v>0</v>
      </c>
      <c r="I97">
        <f>IFERROR(INDEX(P1_PIG_BATCHES!$E:$E,MATCH(B97,P1_PIG_BATCHES!$A:$A,0))-G97-H97,0)</f>
        <v/>
      </c>
      <c r="J97" t="n">
        <v>23.8</v>
      </c>
      <c r="K97" t="inlineStr">
        <is>
          <t>Dry</t>
        </is>
      </c>
      <c r="M97" t="inlineStr">
        <is>
          <t>S01</t>
        </is>
      </c>
    </row>
    <row r="98">
      <c r="A98" t="inlineStr">
        <is>
          <t>2026-02-04</t>
        </is>
      </c>
      <c r="B98" t="inlineStr">
        <is>
          <t>PIG-B01</t>
        </is>
      </c>
      <c r="C98" t="inlineStr">
        <is>
          <t>Pen 1</t>
        </is>
      </c>
      <c r="D98" t="inlineStr">
        <is>
          <t>Pig finisher</t>
        </is>
      </c>
      <c r="E98" t="n">
        <v>21.8</v>
      </c>
      <c r="F98" t="n">
        <v>49.8</v>
      </c>
      <c r="G98" t="n">
        <v>0</v>
      </c>
      <c r="H98" t="n">
        <v>0</v>
      </c>
      <c r="I98">
        <f>IFERROR(INDEX(P1_PIG_BATCHES!$E:$E,MATCH(B98,P1_PIG_BATCHES!$A:$A,0))-G98-H98,0)</f>
        <v/>
      </c>
      <c r="J98" t="n">
        <v>22.5</v>
      </c>
      <c r="K98" t="inlineStr">
        <is>
          <t>Dry</t>
        </is>
      </c>
      <c r="M98" t="inlineStr">
        <is>
          <t>S01</t>
        </is>
      </c>
    </row>
    <row r="99">
      <c r="A99" t="inlineStr">
        <is>
          <t>2026-02-05</t>
        </is>
      </c>
      <c r="B99" t="inlineStr">
        <is>
          <t>PIG-B01</t>
        </is>
      </c>
      <c r="C99" t="inlineStr">
        <is>
          <t>Pen 1</t>
        </is>
      </c>
      <c r="D99" t="inlineStr">
        <is>
          <t>Pig finisher</t>
        </is>
      </c>
      <c r="E99" t="n">
        <v>24.1</v>
      </c>
      <c r="F99" t="n">
        <v>57.9</v>
      </c>
      <c r="G99" t="n">
        <v>0</v>
      </c>
      <c r="H99" t="n">
        <v>0</v>
      </c>
      <c r="I99">
        <f>IFERROR(INDEX(P1_PIG_BATCHES!$E:$E,MATCH(B99,P1_PIG_BATCHES!$A:$A,0))-G99-H99,0)</f>
        <v/>
      </c>
      <c r="J99" t="n">
        <v>26.6</v>
      </c>
      <c r="K99" t="inlineStr">
        <is>
          <t>Dry</t>
        </is>
      </c>
      <c r="M99" t="inlineStr">
        <is>
          <t>S01</t>
        </is>
      </c>
    </row>
    <row r="100">
      <c r="A100" t="inlineStr">
        <is>
          <t>2026-02-06</t>
        </is>
      </c>
      <c r="B100" t="inlineStr">
        <is>
          <t>PIG-B01</t>
        </is>
      </c>
      <c r="C100" t="inlineStr">
        <is>
          <t>Pen 1</t>
        </is>
      </c>
      <c r="D100" t="inlineStr">
        <is>
          <t>Pig finisher</t>
        </is>
      </c>
      <c r="E100" t="n">
        <v>22.7</v>
      </c>
      <c r="F100" t="n">
        <v>60.4</v>
      </c>
      <c r="G100" t="n">
        <v>0</v>
      </c>
      <c r="H100" t="n">
        <v>0</v>
      </c>
      <c r="I100">
        <f>IFERROR(INDEX(P1_PIG_BATCHES!$E:$E,MATCH(B100,P1_PIG_BATCHES!$A:$A,0))-G100-H100,0)</f>
        <v/>
      </c>
      <c r="J100" t="n">
        <v>22.7</v>
      </c>
      <c r="K100" t="inlineStr">
        <is>
          <t>Dry</t>
        </is>
      </c>
      <c r="M100" t="inlineStr">
        <is>
          <t>S01</t>
        </is>
      </c>
    </row>
    <row r="101">
      <c r="A101" t="inlineStr">
        <is>
          <t>2026-02-07</t>
        </is>
      </c>
      <c r="B101" t="inlineStr">
        <is>
          <t>PIG-B01</t>
        </is>
      </c>
      <c r="C101" t="inlineStr">
        <is>
          <t>Pen 1</t>
        </is>
      </c>
      <c r="D101" t="inlineStr">
        <is>
          <t>Pig finisher</t>
        </is>
      </c>
      <c r="E101" t="n">
        <v>23.9</v>
      </c>
      <c r="F101" t="n">
        <v>62.4</v>
      </c>
      <c r="G101" t="n">
        <v>0</v>
      </c>
      <c r="H101" t="n">
        <v>0</v>
      </c>
      <c r="I101">
        <f>IFERROR(INDEX(P1_PIG_BATCHES!$E:$E,MATCH(B101,P1_PIG_BATCHES!$A:$A,0))-G101-H101,0)</f>
        <v/>
      </c>
      <c r="J101" t="n">
        <v>24</v>
      </c>
      <c r="K101" t="inlineStr">
        <is>
          <t>Dry</t>
        </is>
      </c>
      <c r="M101" t="inlineStr">
        <is>
          <t>S01</t>
        </is>
      </c>
    </row>
    <row r="102">
      <c r="A102" t="inlineStr">
        <is>
          <t>2026-02-08</t>
        </is>
      </c>
      <c r="B102" t="inlineStr">
        <is>
          <t>PIG-B01</t>
        </is>
      </c>
      <c r="C102" t="inlineStr">
        <is>
          <t>Pen 1</t>
        </is>
      </c>
      <c r="D102" t="inlineStr">
        <is>
          <t>Pig finisher</t>
        </is>
      </c>
      <c r="E102" t="n">
        <v>21.3</v>
      </c>
      <c r="F102" t="n">
        <v>62.8</v>
      </c>
      <c r="G102" t="n">
        <v>0</v>
      </c>
      <c r="H102" t="n">
        <v>0</v>
      </c>
      <c r="I102">
        <f>IFERROR(INDEX(P1_PIG_BATCHES!$E:$E,MATCH(B102,P1_PIG_BATCHES!$A:$A,0))-G102-H102,0)</f>
        <v/>
      </c>
      <c r="J102" t="n">
        <v>24</v>
      </c>
      <c r="K102" t="inlineStr">
        <is>
          <t>Dry</t>
        </is>
      </c>
      <c r="M102" t="inlineStr">
        <is>
          <t>S01</t>
        </is>
      </c>
    </row>
    <row r="103">
      <c r="A103" t="inlineStr">
        <is>
          <t>2026-02-09</t>
        </is>
      </c>
      <c r="B103" t="inlineStr">
        <is>
          <t>PIG-B01</t>
        </is>
      </c>
      <c r="C103" t="inlineStr">
        <is>
          <t>Pen 1</t>
        </is>
      </c>
      <c r="D103" t="inlineStr">
        <is>
          <t>Pig finisher</t>
        </is>
      </c>
      <c r="E103" t="n">
        <v>22.6</v>
      </c>
      <c r="F103" t="n">
        <v>56.2</v>
      </c>
      <c r="G103" t="n">
        <v>0</v>
      </c>
      <c r="H103" t="n">
        <v>0</v>
      </c>
      <c r="I103">
        <f>IFERROR(INDEX(P1_PIG_BATCHES!$E:$E,MATCH(B103,P1_PIG_BATCHES!$A:$A,0))-G103-H103,0)</f>
        <v/>
      </c>
      <c r="J103" t="n">
        <v>20.8</v>
      </c>
      <c r="K103" t="inlineStr">
        <is>
          <t>Dry</t>
        </is>
      </c>
      <c r="M103" t="inlineStr">
        <is>
          <t>S01</t>
        </is>
      </c>
    </row>
    <row r="104">
      <c r="A104" t="inlineStr">
        <is>
          <t>2026-02-10</t>
        </is>
      </c>
      <c r="B104" t="inlineStr">
        <is>
          <t>PIG-B01</t>
        </is>
      </c>
      <c r="C104" t="inlineStr">
        <is>
          <t>Pen 1</t>
        </is>
      </c>
      <c r="D104" t="inlineStr">
        <is>
          <t>Pig finisher</t>
        </is>
      </c>
      <c r="E104" t="n">
        <v>26.7</v>
      </c>
      <c r="F104" t="n">
        <v>72.59999999999999</v>
      </c>
      <c r="G104" t="n">
        <v>0</v>
      </c>
      <c r="H104" t="n">
        <v>0</v>
      </c>
      <c r="I104">
        <f>IFERROR(INDEX(P1_PIG_BATCHES!$E:$E,MATCH(B104,P1_PIG_BATCHES!$A:$A,0))-G104-H104,0)</f>
        <v/>
      </c>
      <c r="J104" t="n">
        <v>23.8</v>
      </c>
      <c r="K104" t="inlineStr">
        <is>
          <t>Dry</t>
        </is>
      </c>
      <c r="M104" t="inlineStr">
        <is>
          <t>S01</t>
        </is>
      </c>
    </row>
    <row r="105">
      <c r="A105" t="inlineStr">
        <is>
          <t>2026-02-11</t>
        </is>
      </c>
      <c r="B105" t="inlineStr">
        <is>
          <t>PIG-B01</t>
        </is>
      </c>
      <c r="C105" t="inlineStr">
        <is>
          <t>Pen 1</t>
        </is>
      </c>
      <c r="D105" t="inlineStr">
        <is>
          <t>Pig finisher</t>
        </is>
      </c>
      <c r="E105" t="n">
        <v>26.8</v>
      </c>
      <c r="F105" t="n">
        <v>68.2</v>
      </c>
      <c r="G105" t="n">
        <v>0</v>
      </c>
      <c r="H105" t="n">
        <v>0</v>
      </c>
      <c r="I105">
        <f>IFERROR(INDEX(P1_PIG_BATCHES!$E:$E,MATCH(B105,P1_PIG_BATCHES!$A:$A,0))-G105-H105,0)</f>
        <v/>
      </c>
      <c r="J105" t="n">
        <v>26.8</v>
      </c>
      <c r="K105" t="inlineStr">
        <is>
          <t>Dry</t>
        </is>
      </c>
      <c r="M105" t="inlineStr">
        <is>
          <t>S01</t>
        </is>
      </c>
    </row>
    <row r="106">
      <c r="A106" t="inlineStr">
        <is>
          <t>2026-02-12</t>
        </is>
      </c>
      <c r="B106" t="inlineStr">
        <is>
          <t>PIG-B01</t>
        </is>
      </c>
      <c r="C106" t="inlineStr">
        <is>
          <t>Pen 1</t>
        </is>
      </c>
      <c r="D106" t="inlineStr">
        <is>
          <t>Pig finisher</t>
        </is>
      </c>
      <c r="E106" t="n">
        <v>26.5</v>
      </c>
      <c r="F106" t="n">
        <v>66.09999999999999</v>
      </c>
      <c r="G106" t="n">
        <v>0</v>
      </c>
      <c r="H106" t="n">
        <v>0</v>
      </c>
      <c r="I106">
        <f>IFERROR(INDEX(P1_PIG_BATCHES!$E:$E,MATCH(B106,P1_PIG_BATCHES!$A:$A,0))-G106-H106,0)</f>
        <v/>
      </c>
      <c r="J106" t="n">
        <v>23.3</v>
      </c>
      <c r="K106" t="inlineStr">
        <is>
          <t>Dry</t>
        </is>
      </c>
      <c r="M106" t="inlineStr">
        <is>
          <t>S01</t>
        </is>
      </c>
    </row>
    <row r="107">
      <c r="A107" t="inlineStr">
        <is>
          <t>2026-02-13</t>
        </is>
      </c>
      <c r="B107" t="inlineStr">
        <is>
          <t>PIG-B01</t>
        </is>
      </c>
      <c r="C107" t="inlineStr">
        <is>
          <t>Pen 1</t>
        </is>
      </c>
      <c r="D107" t="inlineStr">
        <is>
          <t>Pig finisher</t>
        </is>
      </c>
      <c r="E107" t="n">
        <v>23.3</v>
      </c>
      <c r="F107" t="n">
        <v>61.5</v>
      </c>
      <c r="G107" t="n">
        <v>0</v>
      </c>
      <c r="H107" t="n">
        <v>0</v>
      </c>
      <c r="I107">
        <f>IFERROR(INDEX(P1_PIG_BATCHES!$E:$E,MATCH(B107,P1_PIG_BATCHES!$A:$A,0))-G107-H107,0)</f>
        <v/>
      </c>
      <c r="J107" t="n">
        <v>20.9</v>
      </c>
      <c r="K107" t="inlineStr">
        <is>
          <t>Dry</t>
        </is>
      </c>
      <c r="M107" t="inlineStr">
        <is>
          <t>S01</t>
        </is>
      </c>
    </row>
    <row r="108">
      <c r="A108" t="inlineStr">
        <is>
          <t>2026-02-14</t>
        </is>
      </c>
      <c r="B108" t="inlineStr">
        <is>
          <t>PIG-B01</t>
        </is>
      </c>
      <c r="C108" t="inlineStr">
        <is>
          <t>Pen 1</t>
        </is>
      </c>
      <c r="D108" t="inlineStr">
        <is>
          <t>Pig finisher</t>
        </is>
      </c>
      <c r="E108" t="n">
        <v>26.9</v>
      </c>
      <c r="F108" t="n">
        <v>65.3</v>
      </c>
      <c r="G108" t="n">
        <v>0</v>
      </c>
      <c r="H108" t="n">
        <v>0</v>
      </c>
      <c r="I108">
        <f>IFERROR(INDEX(P1_PIG_BATCHES!$E:$E,MATCH(B108,P1_PIG_BATCHES!$A:$A,0))-G108-H108,0)</f>
        <v/>
      </c>
      <c r="J108" t="n">
        <v>27.5</v>
      </c>
      <c r="K108" t="inlineStr">
        <is>
          <t>Dry</t>
        </is>
      </c>
      <c r="M108" t="inlineStr">
        <is>
          <t>S01</t>
        </is>
      </c>
    </row>
    <row r="109">
      <c r="A109" t="inlineStr">
        <is>
          <t>2026-02-15</t>
        </is>
      </c>
      <c r="B109" t="inlineStr">
        <is>
          <t>PIG-B01</t>
        </is>
      </c>
      <c r="C109" t="inlineStr">
        <is>
          <t>Pen 1</t>
        </is>
      </c>
      <c r="D109" t="inlineStr">
        <is>
          <t>Pig finisher</t>
        </is>
      </c>
      <c r="E109" t="n">
        <v>23.2</v>
      </c>
      <c r="F109" t="n">
        <v>68.90000000000001</v>
      </c>
      <c r="G109" t="n">
        <v>0</v>
      </c>
      <c r="H109" t="n">
        <v>0</v>
      </c>
      <c r="I109">
        <f>IFERROR(INDEX(P1_PIG_BATCHES!$E:$E,MATCH(B109,P1_PIG_BATCHES!$A:$A,0))-G109-H109,0)</f>
        <v/>
      </c>
      <c r="J109" t="n">
        <v>23.2</v>
      </c>
      <c r="K109" t="inlineStr">
        <is>
          <t>Dry</t>
        </is>
      </c>
      <c r="M109" t="inlineStr">
        <is>
          <t>S01</t>
        </is>
      </c>
    </row>
    <row r="110">
      <c r="A110" t="inlineStr">
        <is>
          <t>2026-02-16</t>
        </is>
      </c>
      <c r="B110" t="inlineStr">
        <is>
          <t>PIG-B01</t>
        </is>
      </c>
      <c r="C110" t="inlineStr">
        <is>
          <t>Pen 1</t>
        </is>
      </c>
      <c r="D110" t="inlineStr">
        <is>
          <t>Pig finisher</t>
        </is>
      </c>
      <c r="E110" t="n">
        <v>24.8</v>
      </c>
      <c r="F110" t="n">
        <v>73</v>
      </c>
      <c r="G110" t="n">
        <v>0</v>
      </c>
      <c r="H110" t="n">
        <v>0</v>
      </c>
      <c r="I110">
        <f>IFERROR(INDEX(P1_PIG_BATCHES!$E:$E,MATCH(B110,P1_PIG_BATCHES!$A:$A,0))-G110-H110,0)</f>
        <v/>
      </c>
      <c r="J110" t="n">
        <v>25.8</v>
      </c>
      <c r="K110" t="inlineStr">
        <is>
          <t>Dry</t>
        </is>
      </c>
      <c r="M110" t="inlineStr">
        <is>
          <t>S01</t>
        </is>
      </c>
    </row>
    <row r="111">
      <c r="A111" t="inlineStr">
        <is>
          <t>2026-02-17</t>
        </is>
      </c>
      <c r="B111" t="inlineStr">
        <is>
          <t>PIG-B01</t>
        </is>
      </c>
      <c r="C111" t="inlineStr">
        <is>
          <t>Pen 1</t>
        </is>
      </c>
      <c r="D111" t="inlineStr">
        <is>
          <t>Pig finisher</t>
        </is>
      </c>
      <c r="E111" t="n">
        <v>26</v>
      </c>
      <c r="F111" t="n">
        <v>67.59999999999999</v>
      </c>
      <c r="G111" t="n">
        <v>0</v>
      </c>
      <c r="H111" t="n">
        <v>0</v>
      </c>
      <c r="I111">
        <f>IFERROR(INDEX(P1_PIG_BATCHES!$E:$E,MATCH(B111,P1_PIG_BATCHES!$A:$A,0))-G111-H111,0)</f>
        <v/>
      </c>
      <c r="J111" t="n">
        <v>20.7</v>
      </c>
      <c r="K111" t="inlineStr">
        <is>
          <t>Dry</t>
        </is>
      </c>
      <c r="M111" t="inlineStr">
        <is>
          <t>S01</t>
        </is>
      </c>
    </row>
    <row r="112">
      <c r="A112" t="inlineStr">
        <is>
          <t>2026-02-18</t>
        </is>
      </c>
      <c r="B112" t="inlineStr">
        <is>
          <t>PIG-B01</t>
        </is>
      </c>
      <c r="C112" t="inlineStr">
        <is>
          <t>Pen 1</t>
        </is>
      </c>
      <c r="D112" t="inlineStr">
        <is>
          <t>Pig finisher</t>
        </is>
      </c>
      <c r="E112" t="n">
        <v>25.1</v>
      </c>
      <c r="F112" t="n">
        <v>64.7</v>
      </c>
      <c r="G112" t="n">
        <v>0</v>
      </c>
      <c r="H112" t="n">
        <v>0</v>
      </c>
      <c r="I112">
        <f>IFERROR(INDEX(P1_PIG_BATCHES!$E:$E,MATCH(B112,P1_PIG_BATCHES!$A:$A,0))-G112-H112,0)</f>
        <v/>
      </c>
      <c r="J112" t="n">
        <v>23.7</v>
      </c>
      <c r="K112" t="inlineStr">
        <is>
          <t>Dry</t>
        </is>
      </c>
      <c r="M112" t="inlineStr">
        <is>
          <t>S01</t>
        </is>
      </c>
    </row>
    <row r="113">
      <c r="A113" t="inlineStr">
        <is>
          <t>2026-03-02</t>
        </is>
      </c>
      <c r="B113" t="inlineStr">
        <is>
          <t>PIG-B02</t>
        </is>
      </c>
      <c r="C113" t="inlineStr">
        <is>
          <t>Pen 1</t>
        </is>
      </c>
      <c r="D113" t="inlineStr">
        <is>
          <t>Pig starter</t>
        </is>
      </c>
      <c r="E113" t="n">
        <v>9.1</v>
      </c>
      <c r="F113" t="n">
        <v>22.4</v>
      </c>
      <c r="G113" t="n">
        <v>0</v>
      </c>
      <c r="H113" t="n">
        <v>0</v>
      </c>
      <c r="I113">
        <f>IFERROR(INDEX(P1_PIG_BATCHES!$E:$E,MATCH(B113,P1_PIG_BATCHES!$A:$A,0))-G113-H113,0)</f>
        <v/>
      </c>
      <c r="J113" t="n">
        <v>24.8</v>
      </c>
      <c r="K113" t="inlineStr">
        <is>
          <t>Dry</t>
        </is>
      </c>
      <c r="M113" t="inlineStr">
        <is>
          <t>S01</t>
        </is>
      </c>
    </row>
    <row r="114">
      <c r="A114" t="inlineStr">
        <is>
          <t>2026-03-03</t>
        </is>
      </c>
      <c r="B114" t="inlineStr">
        <is>
          <t>PIG-B02</t>
        </is>
      </c>
      <c r="C114" t="inlineStr">
        <is>
          <t>Pen 1</t>
        </is>
      </c>
      <c r="D114" t="inlineStr">
        <is>
          <t>Pig starter</t>
        </is>
      </c>
      <c r="E114" t="n">
        <v>10.8</v>
      </c>
      <c r="F114" t="n">
        <v>30.1</v>
      </c>
      <c r="G114" t="n">
        <v>0</v>
      </c>
      <c r="H114" t="n">
        <v>0</v>
      </c>
      <c r="I114">
        <f>IFERROR(INDEX(P1_PIG_BATCHES!$E:$E,MATCH(B114,P1_PIG_BATCHES!$A:$A,0))-G114-H114,0)</f>
        <v/>
      </c>
      <c r="J114" t="n">
        <v>22.6</v>
      </c>
      <c r="K114" t="inlineStr">
        <is>
          <t>Dry</t>
        </is>
      </c>
      <c r="M114" t="inlineStr">
        <is>
          <t>S01</t>
        </is>
      </c>
    </row>
    <row r="115">
      <c r="A115" t="inlineStr">
        <is>
          <t>2026-03-04</t>
        </is>
      </c>
      <c r="B115" t="inlineStr">
        <is>
          <t>PIG-B02</t>
        </is>
      </c>
      <c r="C115" t="inlineStr">
        <is>
          <t>Pen 1</t>
        </is>
      </c>
      <c r="D115" t="inlineStr">
        <is>
          <t>Pig starter</t>
        </is>
      </c>
      <c r="E115" t="n">
        <v>11</v>
      </c>
      <c r="F115" t="n">
        <v>28.9</v>
      </c>
      <c r="G115" t="n">
        <v>0</v>
      </c>
      <c r="H115" t="n">
        <v>0</v>
      </c>
      <c r="I115">
        <f>IFERROR(INDEX(P1_PIG_BATCHES!$E:$E,MATCH(B115,P1_PIG_BATCHES!$A:$A,0))-G115-H115,0)</f>
        <v/>
      </c>
      <c r="J115" t="n">
        <v>25.5</v>
      </c>
      <c r="K115" t="inlineStr">
        <is>
          <t>Dry</t>
        </is>
      </c>
      <c r="M115" t="inlineStr">
        <is>
          <t>S01</t>
        </is>
      </c>
    </row>
    <row r="116">
      <c r="A116" t="inlineStr">
        <is>
          <t>2026-03-05</t>
        </is>
      </c>
      <c r="B116" t="inlineStr">
        <is>
          <t>PIG-B02</t>
        </is>
      </c>
      <c r="C116" t="inlineStr">
        <is>
          <t>Pen 1</t>
        </is>
      </c>
      <c r="D116" t="inlineStr">
        <is>
          <t>Pig starter</t>
        </is>
      </c>
      <c r="E116" t="n">
        <v>11.6</v>
      </c>
      <c r="F116" t="n">
        <v>29</v>
      </c>
      <c r="G116" t="n">
        <v>0</v>
      </c>
      <c r="H116" t="n">
        <v>0</v>
      </c>
      <c r="I116">
        <f>IFERROR(INDEX(P1_PIG_BATCHES!$E:$E,MATCH(B116,P1_PIG_BATCHES!$A:$A,0))-G116-H116,0)</f>
        <v/>
      </c>
      <c r="J116" t="n">
        <v>25.3</v>
      </c>
      <c r="K116" t="inlineStr">
        <is>
          <t>Dry</t>
        </is>
      </c>
      <c r="M116" t="inlineStr">
        <is>
          <t>S01</t>
        </is>
      </c>
    </row>
    <row r="117">
      <c r="A117" t="inlineStr">
        <is>
          <t>2026-03-06</t>
        </is>
      </c>
      <c r="B117" t="inlineStr">
        <is>
          <t>PIG-B02</t>
        </is>
      </c>
      <c r="C117" t="inlineStr">
        <is>
          <t>Pen 1</t>
        </is>
      </c>
      <c r="D117" t="inlineStr">
        <is>
          <t>Pig starter</t>
        </is>
      </c>
      <c r="E117" t="n">
        <v>11.5</v>
      </c>
      <c r="F117" t="n">
        <v>32.6</v>
      </c>
      <c r="G117" t="n">
        <v>0</v>
      </c>
      <c r="H117" t="n">
        <v>0</v>
      </c>
      <c r="I117">
        <f>IFERROR(INDEX(P1_PIG_BATCHES!$E:$E,MATCH(B117,P1_PIG_BATCHES!$A:$A,0))-G117-H117,0)</f>
        <v/>
      </c>
      <c r="J117" t="n">
        <v>25.6</v>
      </c>
      <c r="K117" t="inlineStr">
        <is>
          <t>Dry</t>
        </is>
      </c>
      <c r="M117" t="inlineStr">
        <is>
          <t>S01</t>
        </is>
      </c>
    </row>
    <row r="118">
      <c r="A118" t="inlineStr">
        <is>
          <t>2026-03-07</t>
        </is>
      </c>
      <c r="B118" t="inlineStr">
        <is>
          <t>PIG-B02</t>
        </is>
      </c>
      <c r="C118" t="inlineStr">
        <is>
          <t>Pen 1</t>
        </is>
      </c>
      <c r="D118" t="inlineStr">
        <is>
          <t>Pig starter</t>
        </is>
      </c>
      <c r="E118" t="n">
        <v>10.5</v>
      </c>
      <c r="F118" t="n">
        <v>27.1</v>
      </c>
      <c r="G118" t="n">
        <v>0</v>
      </c>
      <c r="H118" t="n">
        <v>0</v>
      </c>
      <c r="I118">
        <f>IFERROR(INDEX(P1_PIG_BATCHES!$E:$E,MATCH(B118,P1_PIG_BATCHES!$A:$A,0))-G118-H118,0)</f>
        <v/>
      </c>
      <c r="J118" t="n">
        <v>27.4</v>
      </c>
      <c r="K118" t="inlineStr">
        <is>
          <t>Dry</t>
        </is>
      </c>
      <c r="M118" t="inlineStr">
        <is>
          <t>S01</t>
        </is>
      </c>
    </row>
    <row r="119">
      <c r="A119" t="inlineStr">
        <is>
          <t>2026-03-08</t>
        </is>
      </c>
      <c r="B119" t="inlineStr">
        <is>
          <t>PIG-B02</t>
        </is>
      </c>
      <c r="C119" t="inlineStr">
        <is>
          <t>Pen 1</t>
        </is>
      </c>
      <c r="D119" t="inlineStr">
        <is>
          <t>Pig starter</t>
        </is>
      </c>
      <c r="E119" t="n">
        <v>13.2</v>
      </c>
      <c r="F119" t="n">
        <v>35.1</v>
      </c>
      <c r="G119" t="n">
        <v>0</v>
      </c>
      <c r="H119" t="n">
        <v>0</v>
      </c>
      <c r="I119">
        <f>IFERROR(INDEX(P1_PIG_BATCHES!$E:$E,MATCH(B119,P1_PIG_BATCHES!$A:$A,0))-G119-H119,0)</f>
        <v/>
      </c>
      <c r="J119" t="n">
        <v>25.6</v>
      </c>
      <c r="K119" t="inlineStr">
        <is>
          <t>Dry</t>
        </is>
      </c>
      <c r="M119" t="inlineStr">
        <is>
          <t>S01</t>
        </is>
      </c>
    </row>
    <row r="120">
      <c r="A120" t="inlineStr">
        <is>
          <t>2026-03-09</t>
        </is>
      </c>
      <c r="B120" t="inlineStr">
        <is>
          <t>PIG-B02</t>
        </is>
      </c>
      <c r="C120" t="inlineStr">
        <is>
          <t>Pen 1</t>
        </is>
      </c>
      <c r="D120" t="inlineStr">
        <is>
          <t>Pig starter</t>
        </is>
      </c>
      <c r="E120" t="n">
        <v>11.9</v>
      </c>
      <c r="F120" t="n">
        <v>32.1</v>
      </c>
      <c r="G120" t="n">
        <v>0</v>
      </c>
      <c r="H120" t="n">
        <v>0</v>
      </c>
      <c r="I120">
        <f>IFERROR(INDEX(P1_PIG_BATCHES!$E:$E,MATCH(B120,P1_PIG_BATCHES!$A:$A,0))-G120-H120,0)</f>
        <v/>
      </c>
      <c r="J120" t="n">
        <v>24.9</v>
      </c>
      <c r="K120" t="inlineStr">
        <is>
          <t>Dry</t>
        </is>
      </c>
      <c r="M120" t="inlineStr">
        <is>
          <t>S01</t>
        </is>
      </c>
    </row>
    <row r="121">
      <c r="A121" t="inlineStr">
        <is>
          <t>2026-03-10</t>
        </is>
      </c>
      <c r="B121" t="inlineStr">
        <is>
          <t>PIG-B02</t>
        </is>
      </c>
      <c r="C121" t="inlineStr">
        <is>
          <t>Pen 1</t>
        </is>
      </c>
      <c r="D121" t="inlineStr">
        <is>
          <t>Pig starter</t>
        </is>
      </c>
      <c r="E121" t="n">
        <v>12.3</v>
      </c>
      <c r="F121" t="n">
        <v>33.7</v>
      </c>
      <c r="G121" t="n">
        <v>0</v>
      </c>
      <c r="H121" t="n">
        <v>0</v>
      </c>
      <c r="I121">
        <f>IFERROR(INDEX(P1_PIG_BATCHES!$E:$E,MATCH(B121,P1_PIG_BATCHES!$A:$A,0))-G121-H121,0)</f>
        <v/>
      </c>
      <c r="J121" t="n">
        <v>20.6</v>
      </c>
      <c r="K121" t="inlineStr">
        <is>
          <t>Dry</t>
        </is>
      </c>
      <c r="M121" t="inlineStr">
        <is>
          <t>S01</t>
        </is>
      </c>
    </row>
    <row r="122">
      <c r="A122" t="inlineStr">
        <is>
          <t>2026-03-11</t>
        </is>
      </c>
      <c r="B122" t="inlineStr">
        <is>
          <t>PIG-B02</t>
        </is>
      </c>
      <c r="C122" t="inlineStr">
        <is>
          <t>Pen 1</t>
        </is>
      </c>
      <c r="D122" t="inlineStr">
        <is>
          <t>Pig starter</t>
        </is>
      </c>
      <c r="E122" t="n">
        <v>12.7</v>
      </c>
      <c r="F122" t="n">
        <v>28.3</v>
      </c>
      <c r="G122" t="n">
        <v>0</v>
      </c>
      <c r="H122" t="n">
        <v>0</v>
      </c>
      <c r="I122">
        <f>IFERROR(INDEX(P1_PIG_BATCHES!$E:$E,MATCH(B122,P1_PIG_BATCHES!$A:$A,0))-G122-H122,0)</f>
        <v/>
      </c>
      <c r="J122" t="n">
        <v>22.7</v>
      </c>
      <c r="K122" t="inlineStr">
        <is>
          <t>Dry</t>
        </is>
      </c>
      <c r="M122" t="inlineStr">
        <is>
          <t>S01</t>
        </is>
      </c>
    </row>
    <row r="123">
      <c r="A123" t="inlineStr">
        <is>
          <t>2026-03-12</t>
        </is>
      </c>
      <c r="B123" t="inlineStr">
        <is>
          <t>PIG-B02</t>
        </is>
      </c>
      <c r="C123" t="inlineStr">
        <is>
          <t>Pen 1</t>
        </is>
      </c>
      <c r="D123" t="inlineStr">
        <is>
          <t>Pig starter</t>
        </is>
      </c>
      <c r="E123" t="n">
        <v>15.2</v>
      </c>
      <c r="F123" t="n">
        <v>38.5</v>
      </c>
      <c r="G123" t="n">
        <v>0</v>
      </c>
      <c r="H123" t="n">
        <v>0</v>
      </c>
      <c r="I123">
        <f>IFERROR(INDEX(P1_PIG_BATCHES!$E:$E,MATCH(B123,P1_PIG_BATCHES!$A:$A,0))-G123-H123,0)</f>
        <v/>
      </c>
      <c r="J123" t="n">
        <v>26</v>
      </c>
      <c r="K123" t="inlineStr">
        <is>
          <t>Dry</t>
        </is>
      </c>
      <c r="M123" t="inlineStr">
        <is>
          <t>S01</t>
        </is>
      </c>
    </row>
    <row r="124">
      <c r="A124" t="inlineStr">
        <is>
          <t>2026-03-13</t>
        </is>
      </c>
      <c r="B124" t="inlineStr">
        <is>
          <t>PIG-B02</t>
        </is>
      </c>
      <c r="C124" t="inlineStr">
        <is>
          <t>Pen 1</t>
        </is>
      </c>
      <c r="D124" t="inlineStr">
        <is>
          <t>Pig starter</t>
        </is>
      </c>
      <c r="E124" t="n">
        <v>16.5</v>
      </c>
      <c r="F124" t="n">
        <v>45.9</v>
      </c>
      <c r="G124" t="n">
        <v>0</v>
      </c>
      <c r="H124" t="n">
        <v>0</v>
      </c>
      <c r="I124">
        <f>IFERROR(INDEX(P1_PIG_BATCHES!$E:$E,MATCH(B124,P1_PIG_BATCHES!$A:$A,0))-G124-H124,0)</f>
        <v/>
      </c>
      <c r="J124" t="n">
        <v>20.8</v>
      </c>
      <c r="K124" t="inlineStr">
        <is>
          <t>Dry</t>
        </is>
      </c>
      <c r="M124" t="inlineStr">
        <is>
          <t>S01</t>
        </is>
      </c>
    </row>
    <row r="125">
      <c r="A125" t="inlineStr">
        <is>
          <t>2026-03-14</t>
        </is>
      </c>
      <c r="B125" t="inlineStr">
        <is>
          <t>PIG-B02</t>
        </is>
      </c>
      <c r="C125" t="inlineStr">
        <is>
          <t>Pen 1</t>
        </is>
      </c>
      <c r="D125" t="inlineStr">
        <is>
          <t>Pig starter</t>
        </is>
      </c>
      <c r="E125" t="n">
        <v>14.6</v>
      </c>
      <c r="F125" t="n">
        <v>36</v>
      </c>
      <c r="G125" t="n">
        <v>0</v>
      </c>
      <c r="H125" t="n">
        <v>0</v>
      </c>
      <c r="I125">
        <f>IFERROR(INDEX(P1_PIG_BATCHES!$E:$E,MATCH(B125,P1_PIG_BATCHES!$A:$A,0))-G125-H125,0)</f>
        <v/>
      </c>
      <c r="J125" t="n">
        <v>25.2</v>
      </c>
      <c r="K125" t="inlineStr">
        <is>
          <t>Dry</t>
        </is>
      </c>
      <c r="M125" t="inlineStr">
        <is>
          <t>S01</t>
        </is>
      </c>
    </row>
    <row r="126">
      <c r="A126" t="inlineStr">
        <is>
          <t>2026-03-15</t>
        </is>
      </c>
      <c r="B126" t="inlineStr">
        <is>
          <t>PIG-B02</t>
        </is>
      </c>
      <c r="C126" t="inlineStr">
        <is>
          <t>Pen 1</t>
        </is>
      </c>
      <c r="D126" t="inlineStr">
        <is>
          <t>Pig starter</t>
        </is>
      </c>
      <c r="E126" t="n">
        <v>15.5</v>
      </c>
      <c r="F126" t="n">
        <v>36.3</v>
      </c>
      <c r="G126" t="n">
        <v>0</v>
      </c>
      <c r="H126" t="n">
        <v>0</v>
      </c>
      <c r="I126">
        <f>IFERROR(INDEX(P1_PIG_BATCHES!$E:$E,MATCH(B126,P1_PIG_BATCHES!$A:$A,0))-G126-H126,0)</f>
        <v/>
      </c>
      <c r="J126" t="n">
        <v>27</v>
      </c>
      <c r="K126" t="inlineStr">
        <is>
          <t>Dry</t>
        </is>
      </c>
      <c r="M126" t="inlineStr">
        <is>
          <t>S01</t>
        </is>
      </c>
    </row>
    <row r="127">
      <c r="A127" t="inlineStr">
        <is>
          <t>2026-03-16</t>
        </is>
      </c>
      <c r="B127" t="inlineStr">
        <is>
          <t>PIG-B02</t>
        </is>
      </c>
      <c r="C127" t="inlineStr">
        <is>
          <t>Pen 1</t>
        </is>
      </c>
      <c r="D127" t="inlineStr">
        <is>
          <t>Pig starter</t>
        </is>
      </c>
      <c r="E127" t="n">
        <v>16.2</v>
      </c>
      <c r="F127" t="n">
        <v>45.6</v>
      </c>
      <c r="G127" t="n">
        <v>0</v>
      </c>
      <c r="H127" t="n">
        <v>0</v>
      </c>
      <c r="I127">
        <f>IFERROR(INDEX(P1_PIG_BATCHES!$E:$E,MATCH(B127,P1_PIG_BATCHES!$A:$A,0))-G127-H127,0)</f>
        <v/>
      </c>
      <c r="J127" t="n">
        <v>25.6</v>
      </c>
      <c r="K127" t="inlineStr">
        <is>
          <t>Dry</t>
        </is>
      </c>
      <c r="M127" t="inlineStr">
        <is>
          <t>S01</t>
        </is>
      </c>
    </row>
    <row r="128">
      <c r="A128" t="inlineStr">
        <is>
          <t>2026-03-17</t>
        </is>
      </c>
      <c r="B128" t="inlineStr">
        <is>
          <t>PIG-B02</t>
        </is>
      </c>
      <c r="C128" t="inlineStr">
        <is>
          <t>Pen 1</t>
        </is>
      </c>
      <c r="D128" t="inlineStr">
        <is>
          <t>Pig starter</t>
        </is>
      </c>
      <c r="E128" t="n">
        <v>18.1</v>
      </c>
      <c r="F128" t="n">
        <v>48.6</v>
      </c>
      <c r="G128" t="n">
        <v>0</v>
      </c>
      <c r="H128" t="n">
        <v>0</v>
      </c>
      <c r="I128">
        <f>IFERROR(INDEX(P1_PIG_BATCHES!$E:$E,MATCH(B128,P1_PIG_BATCHES!$A:$A,0))-G128-H128,0)</f>
        <v/>
      </c>
      <c r="J128" t="n">
        <v>21.8</v>
      </c>
      <c r="K128" t="inlineStr">
        <is>
          <t>Dry</t>
        </is>
      </c>
      <c r="M128" t="inlineStr">
        <is>
          <t>S01</t>
        </is>
      </c>
    </row>
    <row r="129">
      <c r="A129" t="inlineStr">
        <is>
          <t>2026-03-18</t>
        </is>
      </c>
      <c r="B129" t="inlineStr">
        <is>
          <t>PIG-B02</t>
        </is>
      </c>
      <c r="C129" t="inlineStr">
        <is>
          <t>Pen 1</t>
        </is>
      </c>
      <c r="D129" t="inlineStr">
        <is>
          <t>Pig starter</t>
        </is>
      </c>
      <c r="E129" t="n">
        <v>18.1</v>
      </c>
      <c r="F129" t="n">
        <v>43.2</v>
      </c>
      <c r="G129" t="n">
        <v>0</v>
      </c>
      <c r="H129" t="n">
        <v>0</v>
      </c>
      <c r="I129">
        <f>IFERROR(INDEX(P1_PIG_BATCHES!$E:$E,MATCH(B129,P1_PIG_BATCHES!$A:$A,0))-G129-H129,0)</f>
        <v/>
      </c>
      <c r="J129" t="n">
        <v>27.4</v>
      </c>
      <c r="K129" t="inlineStr">
        <is>
          <t>Dry</t>
        </is>
      </c>
      <c r="M129" t="inlineStr">
        <is>
          <t>S01</t>
        </is>
      </c>
    </row>
    <row r="130">
      <c r="A130" t="inlineStr">
        <is>
          <t>2026-03-19</t>
        </is>
      </c>
      <c r="B130" t="inlineStr">
        <is>
          <t>PIG-B02</t>
        </is>
      </c>
      <c r="C130" t="inlineStr">
        <is>
          <t>Pen 1</t>
        </is>
      </c>
      <c r="D130" t="inlineStr">
        <is>
          <t>Pig starter</t>
        </is>
      </c>
      <c r="E130" t="n">
        <v>17.5</v>
      </c>
      <c r="F130" t="n">
        <v>41.5</v>
      </c>
      <c r="G130" t="n">
        <v>0</v>
      </c>
      <c r="H130" t="n">
        <v>0</v>
      </c>
      <c r="I130">
        <f>IFERROR(INDEX(P1_PIG_BATCHES!$E:$E,MATCH(B130,P1_PIG_BATCHES!$A:$A,0))-G130-H130,0)</f>
        <v/>
      </c>
      <c r="J130" t="n">
        <v>25.5</v>
      </c>
      <c r="K130" t="inlineStr">
        <is>
          <t>Dry</t>
        </is>
      </c>
      <c r="M130" t="inlineStr">
        <is>
          <t>S01</t>
        </is>
      </c>
    </row>
    <row r="131">
      <c r="A131" t="inlineStr">
        <is>
          <t>2026-03-20</t>
        </is>
      </c>
      <c r="B131" t="inlineStr">
        <is>
          <t>PIG-B02</t>
        </is>
      </c>
      <c r="C131" t="inlineStr">
        <is>
          <t>Pen 1</t>
        </is>
      </c>
      <c r="D131" t="inlineStr">
        <is>
          <t>Pig starter</t>
        </is>
      </c>
      <c r="E131" t="n">
        <v>18.2</v>
      </c>
      <c r="F131" t="n">
        <v>53.5</v>
      </c>
      <c r="G131" t="n">
        <v>0</v>
      </c>
      <c r="H131" t="n">
        <v>0</v>
      </c>
      <c r="I131">
        <f>IFERROR(INDEX(P1_PIG_BATCHES!$E:$E,MATCH(B131,P1_PIG_BATCHES!$A:$A,0))-G131-H131,0)</f>
        <v/>
      </c>
      <c r="J131" t="n">
        <v>26.1</v>
      </c>
      <c r="K131" t="inlineStr">
        <is>
          <t>Dry</t>
        </is>
      </c>
      <c r="M131" t="inlineStr">
        <is>
          <t>S01</t>
        </is>
      </c>
    </row>
    <row r="132">
      <c r="A132" t="inlineStr">
        <is>
          <t>2026-03-21</t>
        </is>
      </c>
      <c r="B132" t="inlineStr">
        <is>
          <t>PIG-B02</t>
        </is>
      </c>
      <c r="C132" t="inlineStr">
        <is>
          <t>Pen 1</t>
        </is>
      </c>
      <c r="D132" t="inlineStr">
        <is>
          <t>Pig starter</t>
        </is>
      </c>
      <c r="E132" t="n">
        <v>17.7</v>
      </c>
      <c r="F132" t="n">
        <v>48.5</v>
      </c>
      <c r="G132" t="n">
        <v>0</v>
      </c>
      <c r="H132" t="n">
        <v>0</v>
      </c>
      <c r="I132">
        <f>IFERROR(INDEX(P1_PIG_BATCHES!$E:$E,MATCH(B132,P1_PIG_BATCHES!$A:$A,0))-G132-H132,0)</f>
        <v/>
      </c>
      <c r="J132" t="n">
        <v>23.1</v>
      </c>
      <c r="K132" t="inlineStr">
        <is>
          <t>Dry</t>
        </is>
      </c>
      <c r="M132" t="inlineStr">
        <is>
          <t>S01</t>
        </is>
      </c>
    </row>
    <row r="133">
      <c r="A133" t="inlineStr">
        <is>
          <t>2026-03-22</t>
        </is>
      </c>
      <c r="B133" t="inlineStr">
        <is>
          <t>PIG-B02</t>
        </is>
      </c>
      <c r="C133" t="inlineStr">
        <is>
          <t>Pen 1</t>
        </is>
      </c>
      <c r="D133" t="inlineStr">
        <is>
          <t>Pig starter</t>
        </is>
      </c>
      <c r="E133" t="n">
        <v>21.5</v>
      </c>
      <c r="F133" t="n">
        <v>63.5</v>
      </c>
      <c r="G133" t="n">
        <v>0</v>
      </c>
      <c r="H133" t="n">
        <v>0</v>
      </c>
      <c r="I133">
        <f>IFERROR(INDEX(P1_PIG_BATCHES!$E:$E,MATCH(B133,P1_PIG_BATCHES!$A:$A,0))-G133-H133,0)</f>
        <v/>
      </c>
      <c r="J133" t="n">
        <v>26.2</v>
      </c>
      <c r="K133" t="inlineStr">
        <is>
          <t>Dry</t>
        </is>
      </c>
      <c r="M133" t="inlineStr">
        <is>
          <t>S01</t>
        </is>
      </c>
    </row>
    <row r="134">
      <c r="A134" t="inlineStr">
        <is>
          <t>2026-03-23</t>
        </is>
      </c>
      <c r="B134" t="inlineStr">
        <is>
          <t>PIG-B02</t>
        </is>
      </c>
      <c r="C134" t="inlineStr">
        <is>
          <t>Pen 1</t>
        </is>
      </c>
      <c r="D134" t="inlineStr">
        <is>
          <t>Pig starter</t>
        </is>
      </c>
      <c r="E134" t="n">
        <v>19.5</v>
      </c>
      <c r="F134" t="n">
        <v>54</v>
      </c>
      <c r="G134" t="n">
        <v>0</v>
      </c>
      <c r="H134" t="n">
        <v>0</v>
      </c>
      <c r="I134">
        <f>IFERROR(INDEX(P1_PIG_BATCHES!$E:$E,MATCH(B134,P1_PIG_BATCHES!$A:$A,0))-G134-H134,0)</f>
        <v/>
      </c>
      <c r="J134" t="n">
        <v>22.9</v>
      </c>
      <c r="K134" t="inlineStr">
        <is>
          <t>Dry</t>
        </is>
      </c>
      <c r="M134" t="inlineStr">
        <is>
          <t>S01</t>
        </is>
      </c>
    </row>
    <row r="135">
      <c r="A135" t="inlineStr">
        <is>
          <t>2026-03-24</t>
        </is>
      </c>
      <c r="B135" t="inlineStr">
        <is>
          <t>PIG-B02</t>
        </is>
      </c>
      <c r="C135" t="inlineStr">
        <is>
          <t>Pen 1</t>
        </is>
      </c>
      <c r="D135" t="inlineStr">
        <is>
          <t>Pig starter</t>
        </is>
      </c>
      <c r="E135" t="n">
        <v>19.9</v>
      </c>
      <c r="F135" t="n">
        <v>51.4</v>
      </c>
      <c r="G135" t="n">
        <v>0</v>
      </c>
      <c r="H135" t="n">
        <v>0</v>
      </c>
      <c r="I135">
        <f>IFERROR(INDEX(P1_PIG_BATCHES!$E:$E,MATCH(B135,P1_PIG_BATCHES!$A:$A,0))-G135-H135,0)</f>
        <v/>
      </c>
      <c r="J135" t="n">
        <v>21.9</v>
      </c>
      <c r="K135" t="inlineStr">
        <is>
          <t>Dry</t>
        </is>
      </c>
      <c r="M135" t="inlineStr">
        <is>
          <t>S01</t>
        </is>
      </c>
    </row>
    <row r="136">
      <c r="A136" t="inlineStr">
        <is>
          <t>2026-03-25</t>
        </is>
      </c>
      <c r="B136" t="inlineStr">
        <is>
          <t>PIG-B02</t>
        </is>
      </c>
      <c r="C136" t="inlineStr">
        <is>
          <t>Pen 1</t>
        </is>
      </c>
      <c r="D136" t="inlineStr">
        <is>
          <t>Pig starter</t>
        </is>
      </c>
      <c r="E136" t="n">
        <v>23.9</v>
      </c>
      <c r="F136" t="n">
        <v>65.8</v>
      </c>
      <c r="G136" t="n">
        <v>0</v>
      </c>
      <c r="H136" t="n">
        <v>0</v>
      </c>
      <c r="I136">
        <f>IFERROR(INDEX(P1_PIG_BATCHES!$E:$E,MATCH(B136,P1_PIG_BATCHES!$A:$A,0))-G136-H136,0)</f>
        <v/>
      </c>
      <c r="J136" t="n">
        <v>21.4</v>
      </c>
      <c r="K136" t="inlineStr">
        <is>
          <t>Dry</t>
        </is>
      </c>
      <c r="M136" t="inlineStr">
        <is>
          <t>S01</t>
        </is>
      </c>
    </row>
    <row r="137">
      <c r="A137" t="inlineStr">
        <is>
          <t>2026-03-26</t>
        </is>
      </c>
      <c r="B137" t="inlineStr">
        <is>
          <t>PIG-B02</t>
        </is>
      </c>
      <c r="C137" t="inlineStr">
        <is>
          <t>Pen 1</t>
        </is>
      </c>
      <c r="D137" t="inlineStr">
        <is>
          <t>Pig starter</t>
        </is>
      </c>
      <c r="E137" t="n">
        <v>22.7</v>
      </c>
      <c r="F137" t="n">
        <v>54.5</v>
      </c>
      <c r="G137" t="n">
        <v>0</v>
      </c>
      <c r="H137" t="n">
        <v>0</v>
      </c>
      <c r="I137">
        <f>IFERROR(INDEX(P1_PIG_BATCHES!$E:$E,MATCH(B137,P1_PIG_BATCHES!$A:$A,0))-G137-H137,0)</f>
        <v/>
      </c>
      <c r="J137" t="n">
        <v>25.2</v>
      </c>
      <c r="K137" t="inlineStr">
        <is>
          <t>Dry</t>
        </is>
      </c>
      <c r="M137" t="inlineStr">
        <is>
          <t>S01</t>
        </is>
      </c>
    </row>
    <row r="138">
      <c r="A138" t="inlineStr">
        <is>
          <t>2026-03-27</t>
        </is>
      </c>
      <c r="B138" t="inlineStr">
        <is>
          <t>PIG-B02</t>
        </is>
      </c>
      <c r="C138" t="inlineStr">
        <is>
          <t>Pen 1</t>
        </is>
      </c>
      <c r="D138" t="inlineStr">
        <is>
          <t>Pig starter</t>
        </is>
      </c>
      <c r="E138" t="n">
        <v>23.5</v>
      </c>
      <c r="F138" t="n">
        <v>52.9</v>
      </c>
      <c r="G138" t="n">
        <v>0</v>
      </c>
      <c r="H138" t="n">
        <v>0</v>
      </c>
      <c r="I138">
        <f>IFERROR(INDEX(P1_PIG_BATCHES!$E:$E,MATCH(B138,P1_PIG_BATCHES!$A:$A,0))-G138-H138,0)</f>
        <v/>
      </c>
      <c r="J138" t="n">
        <v>23.4</v>
      </c>
      <c r="K138" t="inlineStr">
        <is>
          <t>Dry</t>
        </is>
      </c>
      <c r="M138" t="inlineStr">
        <is>
          <t>S01</t>
        </is>
      </c>
    </row>
    <row r="139">
      <c r="A139" t="inlineStr">
        <is>
          <t>2026-03-28</t>
        </is>
      </c>
      <c r="B139" t="inlineStr">
        <is>
          <t>PIG-B02</t>
        </is>
      </c>
      <c r="C139" t="inlineStr">
        <is>
          <t>Pen 1</t>
        </is>
      </c>
      <c r="D139" t="inlineStr">
        <is>
          <t>Pig starter</t>
        </is>
      </c>
      <c r="E139" t="n">
        <v>21.1</v>
      </c>
      <c r="F139" t="n">
        <v>59.3</v>
      </c>
      <c r="G139" t="n">
        <v>0</v>
      </c>
      <c r="H139" t="n">
        <v>0</v>
      </c>
      <c r="I139">
        <f>IFERROR(INDEX(P1_PIG_BATCHES!$E:$E,MATCH(B139,P1_PIG_BATCHES!$A:$A,0))-G139-H139,0)</f>
        <v/>
      </c>
      <c r="J139" t="n">
        <v>20.4</v>
      </c>
      <c r="K139" t="inlineStr">
        <is>
          <t>Dry</t>
        </is>
      </c>
      <c r="M139" t="inlineStr">
        <is>
          <t>S01</t>
        </is>
      </c>
    </row>
    <row r="140">
      <c r="A140" t="inlineStr">
        <is>
          <t>2026-03-29</t>
        </is>
      </c>
      <c r="B140" t="inlineStr">
        <is>
          <t>PIG-B02</t>
        </is>
      </c>
      <c r="C140" t="inlineStr">
        <is>
          <t>Pen 1</t>
        </is>
      </c>
      <c r="D140" t="inlineStr">
        <is>
          <t>Pig starter</t>
        </is>
      </c>
      <c r="E140" t="n">
        <v>26.3</v>
      </c>
      <c r="F140" t="n">
        <v>66.5</v>
      </c>
      <c r="G140" t="n">
        <v>0</v>
      </c>
      <c r="H140" t="n">
        <v>0</v>
      </c>
      <c r="I140">
        <f>IFERROR(INDEX(P1_PIG_BATCHES!$E:$E,MATCH(B140,P1_PIG_BATCHES!$A:$A,0))-G140-H140,0)</f>
        <v/>
      </c>
      <c r="J140" t="n">
        <v>27.1</v>
      </c>
      <c r="K140" t="inlineStr">
        <is>
          <t>Dry</t>
        </is>
      </c>
      <c r="M140" t="inlineStr">
        <is>
          <t>S01</t>
        </is>
      </c>
    </row>
    <row r="141">
      <c r="A141" t="inlineStr">
        <is>
          <t>2026-03-30</t>
        </is>
      </c>
      <c r="B141" t="inlineStr">
        <is>
          <t>PIG-B02</t>
        </is>
      </c>
      <c r="C141" t="inlineStr">
        <is>
          <t>Pen 1</t>
        </is>
      </c>
      <c r="D141" t="inlineStr">
        <is>
          <t>Pig starter</t>
        </is>
      </c>
      <c r="E141" t="n">
        <v>24.3</v>
      </c>
      <c r="F141" t="n">
        <v>57.5</v>
      </c>
      <c r="G141" t="n">
        <v>0</v>
      </c>
      <c r="H141" t="n">
        <v>0</v>
      </c>
      <c r="I141">
        <f>IFERROR(INDEX(P1_PIG_BATCHES!$E:$E,MATCH(B141,P1_PIG_BATCHES!$A:$A,0))-G141-H141,0)</f>
        <v/>
      </c>
      <c r="J141" t="n">
        <v>27.3</v>
      </c>
      <c r="K141" t="inlineStr">
        <is>
          <t>Dry</t>
        </is>
      </c>
      <c r="M141" t="inlineStr">
        <is>
          <t>S01</t>
        </is>
      </c>
    </row>
    <row r="142">
      <c r="A142" t="inlineStr">
        <is>
          <t>2026-03-31</t>
        </is>
      </c>
      <c r="B142" t="inlineStr">
        <is>
          <t>PIG-B02</t>
        </is>
      </c>
      <c r="C142" t="inlineStr">
        <is>
          <t>Pen 1</t>
        </is>
      </c>
      <c r="D142" t="inlineStr">
        <is>
          <t>Pig starter</t>
        </is>
      </c>
      <c r="E142" t="n">
        <v>25.8</v>
      </c>
      <c r="F142" t="n">
        <v>75.3</v>
      </c>
      <c r="G142" t="n">
        <v>0</v>
      </c>
      <c r="H142" t="n">
        <v>0</v>
      </c>
      <c r="I142">
        <f>IFERROR(INDEX(P1_PIG_BATCHES!$E:$E,MATCH(B142,P1_PIG_BATCHES!$A:$A,0))-G142-H142,0)</f>
        <v/>
      </c>
      <c r="J142" t="n">
        <v>21</v>
      </c>
      <c r="K142" t="inlineStr">
        <is>
          <t>Dry</t>
        </is>
      </c>
      <c r="M142" t="inlineStr">
        <is>
          <t>S01</t>
        </is>
      </c>
    </row>
    <row r="143">
      <c r="A143" t="inlineStr">
        <is>
          <t>2026-04-01</t>
        </is>
      </c>
      <c r="B143" t="inlineStr">
        <is>
          <t>PIG-B02</t>
        </is>
      </c>
      <c r="C143" t="inlineStr">
        <is>
          <t>Pen 1</t>
        </is>
      </c>
      <c r="D143" t="inlineStr">
        <is>
          <t>Pig grower</t>
        </is>
      </c>
      <c r="E143" t="n">
        <v>25.7</v>
      </c>
      <c r="F143" t="n">
        <v>71.3</v>
      </c>
      <c r="G143" t="n">
        <v>0</v>
      </c>
      <c r="H143" t="n">
        <v>0</v>
      </c>
      <c r="I143">
        <f>IFERROR(INDEX(P1_PIG_BATCHES!$E:$E,MATCH(B143,P1_PIG_BATCHES!$A:$A,0))-G143-H143,0)</f>
        <v/>
      </c>
      <c r="J143" t="n">
        <v>27.1</v>
      </c>
      <c r="K143" t="inlineStr">
        <is>
          <t>Dry</t>
        </is>
      </c>
      <c r="M143" t="inlineStr">
        <is>
          <t>S01</t>
        </is>
      </c>
    </row>
    <row r="144">
      <c r="A144" t="inlineStr">
        <is>
          <t>2026-04-02</t>
        </is>
      </c>
      <c r="B144" t="inlineStr">
        <is>
          <t>PIG-B02</t>
        </is>
      </c>
      <c r="C144" t="inlineStr">
        <is>
          <t>Pen 1</t>
        </is>
      </c>
      <c r="D144" t="inlineStr">
        <is>
          <t>Pig grower</t>
        </is>
      </c>
      <c r="E144" t="n">
        <v>24</v>
      </c>
      <c r="F144" t="n">
        <v>69.59999999999999</v>
      </c>
      <c r="G144" t="n">
        <v>0</v>
      </c>
      <c r="H144" t="n">
        <v>0</v>
      </c>
      <c r="I144">
        <f>IFERROR(INDEX(P1_PIG_BATCHES!$E:$E,MATCH(B144,P1_PIG_BATCHES!$A:$A,0))-G144-H144,0)</f>
        <v/>
      </c>
      <c r="J144" t="n">
        <v>21.7</v>
      </c>
      <c r="K144" t="inlineStr">
        <is>
          <t>Dry</t>
        </is>
      </c>
      <c r="M144" t="inlineStr">
        <is>
          <t>S01</t>
        </is>
      </c>
    </row>
    <row r="145">
      <c r="A145" t="inlineStr">
        <is>
          <t>2026-04-03</t>
        </is>
      </c>
      <c r="B145" t="inlineStr">
        <is>
          <t>PIG-B02</t>
        </is>
      </c>
      <c r="C145" t="inlineStr">
        <is>
          <t>Pen 1</t>
        </is>
      </c>
      <c r="D145" t="inlineStr">
        <is>
          <t>Pig grower</t>
        </is>
      </c>
      <c r="E145" t="n">
        <v>29.7</v>
      </c>
      <c r="F145" t="n">
        <v>74.8</v>
      </c>
      <c r="G145" t="n">
        <v>0</v>
      </c>
      <c r="H145" t="n">
        <v>0</v>
      </c>
      <c r="I145">
        <f>IFERROR(INDEX(P1_PIG_BATCHES!$E:$E,MATCH(B145,P1_PIG_BATCHES!$A:$A,0))-G145-H145,0)</f>
        <v/>
      </c>
      <c r="J145" t="n">
        <v>24</v>
      </c>
      <c r="K145" t="inlineStr">
        <is>
          <t>Dry</t>
        </is>
      </c>
      <c r="M145" t="inlineStr">
        <is>
          <t>S01</t>
        </is>
      </c>
    </row>
    <row r="146">
      <c r="A146" t="inlineStr">
        <is>
          <t>2026-04-04</t>
        </is>
      </c>
      <c r="B146" t="inlineStr">
        <is>
          <t>PIG-B02</t>
        </is>
      </c>
      <c r="C146" t="inlineStr">
        <is>
          <t>Pen 1</t>
        </is>
      </c>
      <c r="D146" t="inlineStr">
        <is>
          <t>Pig grower</t>
        </is>
      </c>
      <c r="E146" t="n">
        <v>30.1</v>
      </c>
      <c r="F146" t="n">
        <v>88.3</v>
      </c>
      <c r="G146" t="n">
        <v>0</v>
      </c>
      <c r="H146" t="n">
        <v>0</v>
      </c>
      <c r="I146">
        <f>IFERROR(INDEX(P1_PIG_BATCHES!$E:$E,MATCH(B146,P1_PIG_BATCHES!$A:$A,0))-G146-H146,0)</f>
        <v/>
      </c>
      <c r="J146" t="n">
        <v>26.7</v>
      </c>
      <c r="K146" t="inlineStr">
        <is>
          <t>Dry</t>
        </is>
      </c>
      <c r="M146" t="inlineStr">
        <is>
          <t>S01</t>
        </is>
      </c>
    </row>
    <row r="147">
      <c r="A147" t="inlineStr">
        <is>
          <t>2026-04-05</t>
        </is>
      </c>
      <c r="B147" t="inlineStr">
        <is>
          <t>PIG-B02</t>
        </is>
      </c>
      <c r="C147" t="inlineStr">
        <is>
          <t>Pen 1</t>
        </is>
      </c>
      <c r="D147" t="inlineStr">
        <is>
          <t>Pig grower</t>
        </is>
      </c>
      <c r="E147" t="n">
        <v>28.1</v>
      </c>
      <c r="F147" t="n">
        <v>64.5</v>
      </c>
      <c r="G147" t="n">
        <v>0</v>
      </c>
      <c r="H147" t="n">
        <v>0</v>
      </c>
      <c r="I147">
        <f>IFERROR(INDEX(P1_PIG_BATCHES!$E:$E,MATCH(B147,P1_PIG_BATCHES!$A:$A,0))-G147-H147,0)</f>
        <v/>
      </c>
      <c r="J147" t="n">
        <v>27.5</v>
      </c>
      <c r="K147" t="inlineStr">
        <is>
          <t>Dry</t>
        </is>
      </c>
      <c r="M147" t="inlineStr">
        <is>
          <t>S01</t>
        </is>
      </c>
    </row>
    <row r="148">
      <c r="A148" t="inlineStr">
        <is>
          <t>2026-04-06</t>
        </is>
      </c>
      <c r="B148" t="inlineStr">
        <is>
          <t>PIG-B02</t>
        </is>
      </c>
      <c r="C148" t="inlineStr">
        <is>
          <t>Pen 1</t>
        </is>
      </c>
      <c r="D148" t="inlineStr">
        <is>
          <t>Pig grower</t>
        </is>
      </c>
      <c r="E148" t="n">
        <v>31.5</v>
      </c>
      <c r="F148" t="n">
        <v>83</v>
      </c>
      <c r="G148" t="n">
        <v>0</v>
      </c>
      <c r="H148" t="n">
        <v>0</v>
      </c>
      <c r="I148">
        <f>IFERROR(INDEX(P1_PIG_BATCHES!$E:$E,MATCH(B148,P1_PIG_BATCHES!$A:$A,0))-G148-H148,0)</f>
        <v/>
      </c>
      <c r="J148" t="n">
        <v>24</v>
      </c>
      <c r="K148" t="inlineStr">
        <is>
          <t>Dry</t>
        </is>
      </c>
      <c r="M148" t="inlineStr">
        <is>
          <t>S01</t>
        </is>
      </c>
    </row>
    <row r="149">
      <c r="A149" t="inlineStr">
        <is>
          <t>2026-04-07</t>
        </is>
      </c>
      <c r="B149" t="inlineStr">
        <is>
          <t>PIG-B02</t>
        </is>
      </c>
      <c r="C149" t="inlineStr">
        <is>
          <t>Pen 1</t>
        </is>
      </c>
      <c r="D149" t="inlineStr">
        <is>
          <t>Pig grower</t>
        </is>
      </c>
      <c r="E149" t="n">
        <v>31.2</v>
      </c>
      <c r="F149" t="n">
        <v>80.3</v>
      </c>
      <c r="G149" t="n">
        <v>0</v>
      </c>
      <c r="H149" t="n">
        <v>0</v>
      </c>
      <c r="I149">
        <f>IFERROR(INDEX(P1_PIG_BATCHES!$E:$E,MATCH(B149,P1_PIG_BATCHES!$A:$A,0))-G149-H149,0)</f>
        <v/>
      </c>
      <c r="J149" t="n">
        <v>21.8</v>
      </c>
      <c r="K149" t="inlineStr">
        <is>
          <t>Dry</t>
        </is>
      </c>
      <c r="M149" t="inlineStr">
        <is>
          <t>S01</t>
        </is>
      </c>
    </row>
    <row r="150">
      <c r="A150" t="inlineStr">
        <is>
          <t>2026-04-08</t>
        </is>
      </c>
      <c r="B150" t="inlineStr">
        <is>
          <t>PIG-B02</t>
        </is>
      </c>
      <c r="C150" t="inlineStr">
        <is>
          <t>Pen 1</t>
        </is>
      </c>
      <c r="D150" t="inlineStr">
        <is>
          <t>Pig grower</t>
        </is>
      </c>
      <c r="E150" t="n">
        <v>26.9</v>
      </c>
      <c r="F150" t="n">
        <v>69.09999999999999</v>
      </c>
      <c r="G150" t="n">
        <v>0</v>
      </c>
      <c r="H150" t="n">
        <v>0</v>
      </c>
      <c r="I150">
        <f>IFERROR(INDEX(P1_PIG_BATCHES!$E:$E,MATCH(B150,P1_PIG_BATCHES!$A:$A,0))-G150-H150,0)</f>
        <v/>
      </c>
      <c r="J150" t="n">
        <v>22.3</v>
      </c>
      <c r="K150" t="inlineStr">
        <is>
          <t>Dry</t>
        </is>
      </c>
      <c r="M150" t="inlineStr">
        <is>
          <t>S01</t>
        </is>
      </c>
    </row>
    <row r="151">
      <c r="A151" t="inlineStr">
        <is>
          <t>2026-04-09</t>
        </is>
      </c>
      <c r="B151" t="inlineStr">
        <is>
          <t>PIG-B02</t>
        </is>
      </c>
      <c r="C151" t="inlineStr">
        <is>
          <t>Pen 1</t>
        </is>
      </c>
      <c r="D151" t="inlineStr">
        <is>
          <t>Pig grower</t>
        </is>
      </c>
      <c r="E151" t="n">
        <v>31.5</v>
      </c>
      <c r="F151" t="n">
        <v>89</v>
      </c>
      <c r="G151" t="n">
        <v>0</v>
      </c>
      <c r="H151" t="n">
        <v>0</v>
      </c>
      <c r="I151">
        <f>IFERROR(INDEX(P1_PIG_BATCHES!$E:$E,MATCH(B151,P1_PIG_BATCHES!$A:$A,0))-G151-H151,0)</f>
        <v/>
      </c>
      <c r="J151" t="n">
        <v>24.5</v>
      </c>
      <c r="K151" t="inlineStr">
        <is>
          <t>Dry</t>
        </is>
      </c>
      <c r="M151" t="inlineStr">
        <is>
          <t>S01</t>
        </is>
      </c>
    </row>
    <row r="152">
      <c r="A152" t="inlineStr">
        <is>
          <t>2026-04-10</t>
        </is>
      </c>
      <c r="B152" t="inlineStr">
        <is>
          <t>PIG-B02</t>
        </is>
      </c>
      <c r="C152" t="inlineStr">
        <is>
          <t>Pen 1</t>
        </is>
      </c>
      <c r="D152" t="inlineStr">
        <is>
          <t>Pig grower</t>
        </is>
      </c>
      <c r="E152" t="n">
        <v>28</v>
      </c>
      <c r="F152" t="n">
        <v>80.59999999999999</v>
      </c>
      <c r="G152" t="n">
        <v>0</v>
      </c>
      <c r="H152" t="n">
        <v>0</v>
      </c>
      <c r="I152">
        <f>IFERROR(INDEX(P1_PIG_BATCHES!$E:$E,MATCH(B152,P1_PIG_BATCHES!$A:$A,0))-G152-H152,0)</f>
        <v/>
      </c>
      <c r="J152" t="n">
        <v>26.9</v>
      </c>
      <c r="K152" t="inlineStr">
        <is>
          <t>Dry</t>
        </is>
      </c>
      <c r="M152" t="inlineStr">
        <is>
          <t>S01</t>
        </is>
      </c>
    </row>
    <row r="153">
      <c r="A153" t="inlineStr">
        <is>
          <t>2026-04-11</t>
        </is>
      </c>
      <c r="B153" t="inlineStr">
        <is>
          <t>PIG-B02</t>
        </is>
      </c>
      <c r="C153" t="inlineStr">
        <is>
          <t>Pen 1</t>
        </is>
      </c>
      <c r="D153" t="inlineStr">
        <is>
          <t>Pig grower</t>
        </is>
      </c>
      <c r="E153" t="n">
        <v>31.1</v>
      </c>
      <c r="F153" t="n">
        <v>70.8</v>
      </c>
      <c r="G153" t="n">
        <v>0</v>
      </c>
      <c r="H153" t="n">
        <v>0</v>
      </c>
      <c r="I153">
        <f>IFERROR(INDEX(P1_PIG_BATCHES!$E:$E,MATCH(B153,P1_PIG_BATCHES!$A:$A,0))-G153-H153,0)</f>
        <v/>
      </c>
      <c r="J153" t="n">
        <v>25.2</v>
      </c>
      <c r="K153" t="inlineStr">
        <is>
          <t>Dry</t>
        </is>
      </c>
      <c r="M153" t="inlineStr">
        <is>
          <t>S01</t>
        </is>
      </c>
    </row>
    <row r="154">
      <c r="A154" t="inlineStr">
        <is>
          <t>2026-04-12</t>
        </is>
      </c>
      <c r="B154" t="inlineStr">
        <is>
          <t>PIG-B02</t>
        </is>
      </c>
      <c r="C154" t="inlineStr">
        <is>
          <t>Pen 1</t>
        </is>
      </c>
      <c r="D154" t="inlineStr">
        <is>
          <t>Pig grower</t>
        </is>
      </c>
      <c r="E154" t="n">
        <v>28.8</v>
      </c>
      <c r="F154" t="n">
        <v>70.90000000000001</v>
      </c>
      <c r="G154" t="n">
        <v>0</v>
      </c>
      <c r="H154" t="n">
        <v>0</v>
      </c>
      <c r="I154">
        <f>IFERROR(INDEX(P1_PIG_BATCHES!$E:$E,MATCH(B154,P1_PIG_BATCHES!$A:$A,0))-G154-H154,0)</f>
        <v/>
      </c>
      <c r="J154" t="n">
        <v>22.2</v>
      </c>
      <c r="K154" t="inlineStr">
        <is>
          <t>Dry</t>
        </is>
      </c>
      <c r="M154" t="inlineStr">
        <is>
          <t>S01</t>
        </is>
      </c>
    </row>
    <row r="155">
      <c r="A155" t="inlineStr">
        <is>
          <t>2026-04-13</t>
        </is>
      </c>
      <c r="B155" t="inlineStr">
        <is>
          <t>PIG-B02</t>
        </is>
      </c>
      <c r="C155" t="inlineStr">
        <is>
          <t>Pen 1</t>
        </is>
      </c>
      <c r="D155" t="inlineStr">
        <is>
          <t>Pig grower</t>
        </is>
      </c>
      <c r="E155" t="n">
        <v>30</v>
      </c>
      <c r="F155" t="n">
        <v>83.90000000000001</v>
      </c>
      <c r="G155" t="n">
        <v>0</v>
      </c>
      <c r="H155" t="n">
        <v>0</v>
      </c>
      <c r="I155">
        <f>IFERROR(INDEX(P1_PIG_BATCHES!$E:$E,MATCH(B155,P1_PIG_BATCHES!$A:$A,0))-G155-H155,0)</f>
        <v/>
      </c>
      <c r="J155" t="n">
        <v>27.3</v>
      </c>
      <c r="K155" t="inlineStr">
        <is>
          <t>Dry</t>
        </is>
      </c>
      <c r="M155" t="inlineStr">
        <is>
          <t>S01</t>
        </is>
      </c>
    </row>
    <row r="156">
      <c r="A156" t="inlineStr">
        <is>
          <t>2026-04-14</t>
        </is>
      </c>
      <c r="B156" t="inlineStr">
        <is>
          <t>PIG-B02</t>
        </is>
      </c>
      <c r="C156" t="inlineStr">
        <is>
          <t>Pen 1</t>
        </is>
      </c>
      <c r="D156" t="inlineStr">
        <is>
          <t>Pig grower</t>
        </is>
      </c>
      <c r="E156" t="n">
        <v>34.3</v>
      </c>
      <c r="F156" t="n">
        <v>76.09999999999999</v>
      </c>
      <c r="G156" t="n">
        <v>0</v>
      </c>
      <c r="H156" t="n">
        <v>0</v>
      </c>
      <c r="I156">
        <f>IFERROR(INDEX(P1_PIG_BATCHES!$E:$E,MATCH(B156,P1_PIG_BATCHES!$A:$A,0))-G156-H156,0)</f>
        <v/>
      </c>
      <c r="J156" t="n">
        <v>25.1</v>
      </c>
      <c r="K156" t="inlineStr">
        <is>
          <t>Dry</t>
        </is>
      </c>
      <c r="M156" t="inlineStr">
        <is>
          <t>S01</t>
        </is>
      </c>
    </row>
    <row r="157">
      <c r="A157" t="inlineStr">
        <is>
          <t>2026-04-15</t>
        </is>
      </c>
      <c r="B157" t="inlineStr">
        <is>
          <t>PIG-B02</t>
        </is>
      </c>
      <c r="C157" t="inlineStr">
        <is>
          <t>Pen 1</t>
        </is>
      </c>
      <c r="D157" t="inlineStr">
        <is>
          <t>Pig grower</t>
        </is>
      </c>
      <c r="E157" t="n">
        <v>29.6</v>
      </c>
      <c r="F157" t="n">
        <v>68.09999999999999</v>
      </c>
      <c r="G157" t="n">
        <v>0</v>
      </c>
      <c r="H157" t="n">
        <v>0</v>
      </c>
      <c r="I157">
        <f>IFERROR(INDEX(P1_PIG_BATCHES!$E:$E,MATCH(B157,P1_PIG_BATCHES!$A:$A,0))-G157-H157,0)</f>
        <v/>
      </c>
      <c r="J157" t="n">
        <v>22.6</v>
      </c>
      <c r="K157" t="inlineStr">
        <is>
          <t>Dry</t>
        </is>
      </c>
      <c r="M157" t="inlineStr">
        <is>
          <t>S01</t>
        </is>
      </c>
    </row>
    <row r="158">
      <c r="A158" t="inlineStr">
        <is>
          <t>2026-04-16</t>
        </is>
      </c>
      <c r="B158" t="inlineStr">
        <is>
          <t>PIG-B02</t>
        </is>
      </c>
      <c r="C158" t="inlineStr">
        <is>
          <t>Pen 1</t>
        </is>
      </c>
      <c r="D158" t="inlineStr">
        <is>
          <t>Pig grower</t>
        </is>
      </c>
      <c r="E158" t="n">
        <v>33.7</v>
      </c>
      <c r="F158" t="n">
        <v>98</v>
      </c>
      <c r="G158" t="n">
        <v>0</v>
      </c>
      <c r="H158" t="n">
        <v>0</v>
      </c>
      <c r="I158">
        <f>IFERROR(INDEX(P1_PIG_BATCHES!$E:$E,MATCH(B158,P1_PIG_BATCHES!$A:$A,0))-G158-H158,0)</f>
        <v/>
      </c>
      <c r="J158" t="n">
        <v>25.5</v>
      </c>
      <c r="K158" t="inlineStr">
        <is>
          <t>Dry</t>
        </is>
      </c>
      <c r="M158" t="inlineStr">
        <is>
          <t>S01</t>
        </is>
      </c>
    </row>
    <row r="159">
      <c r="A159" t="inlineStr">
        <is>
          <t>2026-04-17</t>
        </is>
      </c>
      <c r="B159" t="inlineStr">
        <is>
          <t>PIG-B02</t>
        </is>
      </c>
      <c r="C159" t="inlineStr">
        <is>
          <t>Pen 1</t>
        </is>
      </c>
      <c r="D159" t="inlineStr">
        <is>
          <t>Pig grower</t>
        </is>
      </c>
      <c r="E159" t="n">
        <v>31.1</v>
      </c>
      <c r="F159" t="n">
        <v>91</v>
      </c>
      <c r="G159" t="n">
        <v>0</v>
      </c>
      <c r="H159" t="n">
        <v>0</v>
      </c>
      <c r="I159">
        <f>IFERROR(INDEX(P1_PIG_BATCHES!$E:$E,MATCH(B159,P1_PIG_BATCHES!$A:$A,0))-G159-H159,0)</f>
        <v/>
      </c>
      <c r="J159" t="n">
        <v>22.5</v>
      </c>
      <c r="K159" t="inlineStr">
        <is>
          <t>Dry</t>
        </is>
      </c>
      <c r="M159" t="inlineStr">
        <is>
          <t>S01</t>
        </is>
      </c>
    </row>
    <row r="160">
      <c r="A160" t="inlineStr">
        <is>
          <t>2026-04-18</t>
        </is>
      </c>
      <c r="B160" t="inlineStr">
        <is>
          <t>PIG-B02</t>
        </is>
      </c>
      <c r="C160" t="inlineStr">
        <is>
          <t>Pen 1</t>
        </is>
      </c>
      <c r="D160" t="inlineStr">
        <is>
          <t>Pig grower</t>
        </is>
      </c>
      <c r="E160" t="n">
        <v>32.4</v>
      </c>
      <c r="F160" t="n">
        <v>75</v>
      </c>
      <c r="G160" t="n">
        <v>0</v>
      </c>
      <c r="H160" t="n">
        <v>0</v>
      </c>
      <c r="I160">
        <f>IFERROR(INDEX(P1_PIG_BATCHES!$E:$E,MATCH(B160,P1_PIG_BATCHES!$A:$A,0))-G160-H160,0)</f>
        <v/>
      </c>
      <c r="J160" t="n">
        <v>21.5</v>
      </c>
      <c r="K160" t="inlineStr">
        <is>
          <t>Dry</t>
        </is>
      </c>
      <c r="M160" t="inlineStr">
        <is>
          <t>S01</t>
        </is>
      </c>
    </row>
    <row r="161">
      <c r="A161" t="inlineStr">
        <is>
          <t>2026-04-19</t>
        </is>
      </c>
      <c r="B161" t="inlineStr">
        <is>
          <t>PIG-B02</t>
        </is>
      </c>
      <c r="C161" t="inlineStr">
        <is>
          <t>Pen 1</t>
        </is>
      </c>
      <c r="D161" t="inlineStr">
        <is>
          <t>Pig grower</t>
        </is>
      </c>
      <c r="E161" t="n">
        <v>36.2</v>
      </c>
      <c r="F161" t="n">
        <v>91.7</v>
      </c>
      <c r="G161" t="n">
        <v>0</v>
      </c>
      <c r="H161" t="n">
        <v>0</v>
      </c>
      <c r="I161">
        <f>IFERROR(INDEX(P1_PIG_BATCHES!$E:$E,MATCH(B161,P1_PIG_BATCHES!$A:$A,0))-G161-H161,0)</f>
        <v/>
      </c>
      <c r="J161" t="n">
        <v>24.4</v>
      </c>
      <c r="K161" t="inlineStr">
        <is>
          <t>Dry</t>
        </is>
      </c>
      <c r="M161" t="inlineStr">
        <is>
          <t>S01</t>
        </is>
      </c>
    </row>
    <row r="162">
      <c r="A162" t="inlineStr">
        <is>
          <t>2026-04-20</t>
        </is>
      </c>
      <c r="B162" t="inlineStr">
        <is>
          <t>PIG-B02</t>
        </is>
      </c>
      <c r="C162" t="inlineStr">
        <is>
          <t>Pen 1</t>
        </is>
      </c>
      <c r="D162" t="inlineStr">
        <is>
          <t>Pig grower</t>
        </is>
      </c>
      <c r="E162" t="n">
        <v>36.2</v>
      </c>
      <c r="F162" t="n">
        <v>98.8</v>
      </c>
      <c r="G162" t="n">
        <v>0</v>
      </c>
      <c r="H162" t="n">
        <v>0</v>
      </c>
      <c r="I162">
        <f>IFERROR(INDEX(P1_PIG_BATCHES!$E:$E,MATCH(B162,P1_PIG_BATCHES!$A:$A,0))-G162-H162,0)</f>
        <v/>
      </c>
      <c r="J162" t="n">
        <v>22</v>
      </c>
      <c r="K162" t="inlineStr">
        <is>
          <t>Dry</t>
        </is>
      </c>
      <c r="M162" t="inlineStr">
        <is>
          <t>S01</t>
        </is>
      </c>
    </row>
    <row r="163">
      <c r="A163" t="inlineStr">
        <is>
          <t>2026-04-21</t>
        </is>
      </c>
      <c r="B163" t="inlineStr">
        <is>
          <t>PIG-B02</t>
        </is>
      </c>
      <c r="C163" t="inlineStr">
        <is>
          <t>Pen 1</t>
        </is>
      </c>
      <c r="D163" t="inlineStr">
        <is>
          <t>Pig grower</t>
        </is>
      </c>
      <c r="E163" t="n">
        <v>38.6</v>
      </c>
      <c r="F163" t="n">
        <v>111.6</v>
      </c>
      <c r="G163" t="n">
        <v>0</v>
      </c>
      <c r="H163" t="n">
        <v>0</v>
      </c>
      <c r="I163">
        <f>IFERROR(INDEX(P1_PIG_BATCHES!$E:$E,MATCH(B163,P1_PIG_BATCHES!$A:$A,0))-G163-H163,0)</f>
        <v/>
      </c>
      <c r="J163" t="n">
        <v>21</v>
      </c>
      <c r="K163" t="inlineStr">
        <is>
          <t>Dry</t>
        </is>
      </c>
      <c r="M163" t="inlineStr">
        <is>
          <t>S01</t>
        </is>
      </c>
    </row>
    <row r="164">
      <c r="A164" t="inlineStr">
        <is>
          <t>2026-04-22</t>
        </is>
      </c>
      <c r="B164" t="inlineStr">
        <is>
          <t>PIG-B02</t>
        </is>
      </c>
      <c r="C164" t="inlineStr">
        <is>
          <t>Pen 1</t>
        </is>
      </c>
      <c r="D164" t="inlineStr">
        <is>
          <t>Pig grower</t>
        </is>
      </c>
      <c r="E164" t="n">
        <v>38.8</v>
      </c>
      <c r="F164" t="n">
        <v>88.09999999999999</v>
      </c>
      <c r="G164" t="n">
        <v>0</v>
      </c>
      <c r="H164" t="n">
        <v>0</v>
      </c>
      <c r="I164">
        <f>IFERROR(INDEX(P1_PIG_BATCHES!$E:$E,MATCH(B164,P1_PIG_BATCHES!$A:$A,0))-G164-H164,0)</f>
        <v/>
      </c>
      <c r="J164" t="n">
        <v>24.5</v>
      </c>
      <c r="K164" t="inlineStr">
        <is>
          <t>Dry</t>
        </is>
      </c>
      <c r="M164" t="inlineStr">
        <is>
          <t>S01</t>
        </is>
      </c>
    </row>
    <row r="165">
      <c r="A165" t="inlineStr">
        <is>
          <t>2026-04-23</t>
        </is>
      </c>
      <c r="B165" t="inlineStr">
        <is>
          <t>PIG-B02</t>
        </is>
      </c>
      <c r="C165" t="inlineStr">
        <is>
          <t>Pen 1</t>
        </is>
      </c>
      <c r="D165" t="inlineStr">
        <is>
          <t>Pig grower</t>
        </is>
      </c>
      <c r="E165" t="n">
        <v>37.9</v>
      </c>
      <c r="F165" t="n">
        <v>98.7</v>
      </c>
      <c r="G165" t="n">
        <v>0</v>
      </c>
      <c r="H165" t="n">
        <v>0</v>
      </c>
      <c r="I165">
        <f>IFERROR(INDEX(P1_PIG_BATCHES!$E:$E,MATCH(B165,P1_PIG_BATCHES!$A:$A,0))-G165-H165,0)</f>
        <v/>
      </c>
      <c r="J165" t="n">
        <v>24.5</v>
      </c>
      <c r="K165" t="inlineStr">
        <is>
          <t>Dry</t>
        </is>
      </c>
      <c r="M165" t="inlineStr">
        <is>
          <t>S01</t>
        </is>
      </c>
    </row>
    <row r="166">
      <c r="A166" t="inlineStr">
        <is>
          <t>2026-04-24</t>
        </is>
      </c>
      <c r="B166" t="inlineStr">
        <is>
          <t>PIG-B02</t>
        </is>
      </c>
      <c r="C166" t="inlineStr">
        <is>
          <t>Pen 1</t>
        </is>
      </c>
      <c r="D166" t="inlineStr">
        <is>
          <t>Pig grower</t>
        </is>
      </c>
      <c r="E166" t="n">
        <v>36.5</v>
      </c>
      <c r="F166" t="n">
        <v>95.5</v>
      </c>
      <c r="G166" t="n">
        <v>0</v>
      </c>
      <c r="H166" t="n">
        <v>0</v>
      </c>
      <c r="I166">
        <f>IFERROR(INDEX(P1_PIG_BATCHES!$E:$E,MATCH(B166,P1_PIG_BATCHES!$A:$A,0))-G166-H166,0)</f>
        <v/>
      </c>
      <c r="J166" t="n">
        <v>21.2</v>
      </c>
      <c r="K166" t="inlineStr">
        <is>
          <t>Dry</t>
        </is>
      </c>
      <c r="M166" t="inlineStr">
        <is>
          <t>S01</t>
        </is>
      </c>
    </row>
    <row r="167">
      <c r="A167" t="inlineStr">
        <is>
          <t>2026-04-25</t>
        </is>
      </c>
      <c r="B167" t="inlineStr">
        <is>
          <t>PIG-B02</t>
        </is>
      </c>
      <c r="C167" t="inlineStr">
        <is>
          <t>Pen 1</t>
        </is>
      </c>
      <c r="D167" t="inlineStr">
        <is>
          <t>Pig grower</t>
        </is>
      </c>
      <c r="E167" t="n">
        <v>22.7</v>
      </c>
      <c r="F167" t="n">
        <v>51.8</v>
      </c>
      <c r="G167" t="n">
        <v>1</v>
      </c>
      <c r="H167" t="n">
        <v>0</v>
      </c>
      <c r="I167">
        <f>IFERROR(INDEX(P1_PIG_BATCHES!$E:$E,MATCH(B167,P1_PIG_BATCHES!$A:$A,0))-G167-H167,0)</f>
        <v/>
      </c>
      <c r="J167" t="n">
        <v>24.1</v>
      </c>
      <c r="K167" t="inlineStr">
        <is>
          <t>Damp</t>
        </is>
      </c>
      <c r="L167" t="inlineStr">
        <is>
          <t>Several pigs off-feed, loose stools - vet called</t>
        </is>
      </c>
      <c r="M167" t="inlineStr">
        <is>
          <t>S01</t>
        </is>
      </c>
    </row>
    <row r="168">
      <c r="A168" t="inlineStr">
        <is>
          <t>2026-04-26</t>
        </is>
      </c>
      <c r="B168" t="inlineStr">
        <is>
          <t>PIG-B02</t>
        </is>
      </c>
      <c r="C168" t="inlineStr">
        <is>
          <t>Pen 1</t>
        </is>
      </c>
      <c r="D168" t="inlineStr">
        <is>
          <t>Pig grower</t>
        </is>
      </c>
      <c r="E168" t="n">
        <v>22.3</v>
      </c>
      <c r="F168" t="n">
        <v>58.2</v>
      </c>
      <c r="G168" t="n">
        <v>0</v>
      </c>
      <c r="H168" t="n">
        <v>0</v>
      </c>
      <c r="I168">
        <f>IFERROR(INDEX(P1_PIG_BATCHES!$E:$E,MATCH(B168,P1_PIG_BATCHES!$A:$A,0))-G168-H168,0)</f>
        <v/>
      </c>
      <c r="J168" t="n">
        <v>23.7</v>
      </c>
      <c r="K168" t="inlineStr">
        <is>
          <t>Damp</t>
        </is>
      </c>
      <c r="M168" t="inlineStr">
        <is>
          <t>S01</t>
        </is>
      </c>
    </row>
    <row r="169">
      <c r="A169" t="inlineStr">
        <is>
          <t>2026-04-27</t>
        </is>
      </c>
      <c r="B169" t="inlineStr">
        <is>
          <t>PIG-B02</t>
        </is>
      </c>
      <c r="C169" t="inlineStr">
        <is>
          <t>Pen 1</t>
        </is>
      </c>
      <c r="D169" t="inlineStr">
        <is>
          <t>Pig grower</t>
        </is>
      </c>
      <c r="E169" t="n">
        <v>21.8</v>
      </c>
      <c r="F169" t="n">
        <v>61.9</v>
      </c>
      <c r="G169" t="n">
        <v>1</v>
      </c>
      <c r="H169" t="n">
        <v>0</v>
      </c>
      <c r="I169">
        <f>IFERROR(INDEX(P1_PIG_BATCHES!$E:$E,MATCH(B169,P1_PIG_BATCHES!$A:$A,0))-G169-H169,0)</f>
        <v/>
      </c>
      <c r="J169" t="n">
        <v>25.6</v>
      </c>
      <c r="K169" t="inlineStr">
        <is>
          <t>Damp</t>
        </is>
      </c>
      <c r="M169" t="inlineStr">
        <is>
          <t>S01</t>
        </is>
      </c>
    </row>
    <row r="170">
      <c r="A170" t="inlineStr">
        <is>
          <t>2026-04-28</t>
        </is>
      </c>
      <c r="B170" t="inlineStr">
        <is>
          <t>PIG-B02</t>
        </is>
      </c>
      <c r="C170" t="inlineStr">
        <is>
          <t>Pen 1</t>
        </is>
      </c>
      <c r="D170" t="inlineStr">
        <is>
          <t>Pig grower</t>
        </is>
      </c>
      <c r="E170" t="n">
        <v>24</v>
      </c>
      <c r="F170" t="n">
        <v>67</v>
      </c>
      <c r="G170" t="n">
        <v>0</v>
      </c>
      <c r="H170" t="n">
        <v>0</v>
      </c>
      <c r="I170">
        <f>IFERROR(INDEX(P1_PIG_BATCHES!$E:$E,MATCH(B170,P1_PIG_BATCHES!$A:$A,0))-G170-H170,0)</f>
        <v/>
      </c>
      <c r="J170" t="n">
        <v>24.6</v>
      </c>
      <c r="K170" t="inlineStr">
        <is>
          <t>Damp</t>
        </is>
      </c>
      <c r="M170" t="inlineStr">
        <is>
          <t>S01</t>
        </is>
      </c>
    </row>
    <row r="171">
      <c r="A171" t="inlineStr">
        <is>
          <t>2026-04-29</t>
        </is>
      </c>
      <c r="B171" t="inlineStr">
        <is>
          <t>PIG-B02</t>
        </is>
      </c>
      <c r="C171" t="inlineStr">
        <is>
          <t>Pen 1</t>
        </is>
      </c>
      <c r="D171" t="inlineStr">
        <is>
          <t>Pig grower</t>
        </is>
      </c>
      <c r="E171" t="n">
        <v>20.8</v>
      </c>
      <c r="F171" t="n">
        <v>47</v>
      </c>
      <c r="G171" t="n">
        <v>1</v>
      </c>
      <c r="H171" t="n">
        <v>0</v>
      </c>
      <c r="I171">
        <f>IFERROR(INDEX(P1_PIG_BATCHES!$E:$E,MATCH(B171,P1_PIG_BATCHES!$A:$A,0))-G171-H171,0)</f>
        <v/>
      </c>
      <c r="J171" t="n">
        <v>27.6</v>
      </c>
      <c r="K171" t="inlineStr">
        <is>
          <t>Damp</t>
        </is>
      </c>
      <c r="M171" t="inlineStr">
        <is>
          <t>S01</t>
        </is>
      </c>
    </row>
    <row r="172">
      <c r="A172" t="inlineStr">
        <is>
          <t>2026-04-30</t>
        </is>
      </c>
      <c r="B172" t="inlineStr">
        <is>
          <t>PIG-B02</t>
        </is>
      </c>
      <c r="C172" t="inlineStr">
        <is>
          <t>Pen 1</t>
        </is>
      </c>
      <c r="D172" t="inlineStr">
        <is>
          <t>Pig grower</t>
        </is>
      </c>
      <c r="E172" t="n">
        <v>19.7</v>
      </c>
      <c r="F172" t="n">
        <v>57.9</v>
      </c>
      <c r="G172" t="n">
        <v>0</v>
      </c>
      <c r="H172" t="n">
        <v>0</v>
      </c>
      <c r="I172">
        <f>IFERROR(INDEX(P1_PIG_BATCHES!$E:$E,MATCH(B172,P1_PIG_BATCHES!$A:$A,0))-G172-H172,0)</f>
        <v/>
      </c>
      <c r="J172" t="n">
        <v>20.6</v>
      </c>
      <c r="K172" t="inlineStr">
        <is>
          <t>Damp</t>
        </is>
      </c>
      <c r="M172" t="inlineStr">
        <is>
          <t>S01</t>
        </is>
      </c>
    </row>
    <row r="173">
      <c r="A173" t="inlineStr">
        <is>
          <t>2026-05-01</t>
        </is>
      </c>
      <c r="B173" t="inlineStr">
        <is>
          <t>PIG-B02</t>
        </is>
      </c>
      <c r="C173" t="inlineStr">
        <is>
          <t>Pen 1</t>
        </is>
      </c>
      <c r="D173" t="inlineStr">
        <is>
          <t>Pig grower</t>
        </is>
      </c>
      <c r="E173" t="n">
        <v>23.7</v>
      </c>
      <c r="F173" t="n">
        <v>66.5</v>
      </c>
      <c r="G173" t="n">
        <v>0</v>
      </c>
      <c r="H173" t="n">
        <v>0</v>
      </c>
      <c r="I173">
        <f>IFERROR(INDEX(P1_PIG_BATCHES!$E:$E,MATCH(B173,P1_PIG_BATCHES!$A:$A,0))-G173-H173,0)</f>
        <v/>
      </c>
      <c r="J173" t="n">
        <v>27.4</v>
      </c>
      <c r="K173" t="inlineStr">
        <is>
          <t>Damp</t>
        </is>
      </c>
      <c r="M173" t="inlineStr">
        <is>
          <t>S01</t>
        </is>
      </c>
    </row>
    <row r="174">
      <c r="A174" t="inlineStr">
        <is>
          <t>2026-05-02</t>
        </is>
      </c>
      <c r="B174" t="inlineStr">
        <is>
          <t>PIG-B02</t>
        </is>
      </c>
      <c r="C174" t="inlineStr">
        <is>
          <t>Pen 1</t>
        </is>
      </c>
      <c r="D174" t="inlineStr">
        <is>
          <t>Pig grower</t>
        </is>
      </c>
      <c r="E174" t="n">
        <v>22.1</v>
      </c>
      <c r="F174" t="n">
        <v>66</v>
      </c>
      <c r="G174" t="n">
        <v>0</v>
      </c>
      <c r="H174" t="n">
        <v>0</v>
      </c>
      <c r="I174">
        <f>IFERROR(INDEX(P1_PIG_BATCHES!$E:$E,MATCH(B174,P1_PIG_BATCHES!$A:$A,0))-G174-H174,0)</f>
        <v/>
      </c>
      <c r="J174" t="n">
        <v>23.2</v>
      </c>
      <c r="K174" t="inlineStr">
        <is>
          <t>Damp</t>
        </is>
      </c>
      <c r="M174" t="inlineStr">
        <is>
          <t>S01</t>
        </is>
      </c>
    </row>
    <row r="175">
      <c r="A175" t="inlineStr">
        <is>
          <t>2026-05-03</t>
        </is>
      </c>
      <c r="B175" t="inlineStr">
        <is>
          <t>PIG-B02</t>
        </is>
      </c>
      <c r="C175" t="inlineStr">
        <is>
          <t>Pen 1</t>
        </is>
      </c>
      <c r="D175" t="inlineStr">
        <is>
          <t>Pig grower</t>
        </is>
      </c>
      <c r="E175" t="n">
        <v>25</v>
      </c>
      <c r="F175" t="n">
        <v>62.6</v>
      </c>
      <c r="G175" t="n">
        <v>0</v>
      </c>
      <c r="H175" t="n">
        <v>0</v>
      </c>
      <c r="I175">
        <f>IFERROR(INDEX(P1_PIG_BATCHES!$E:$E,MATCH(B175,P1_PIG_BATCHES!$A:$A,0))-G175-H175,0)</f>
        <v/>
      </c>
      <c r="J175" t="n">
        <v>25.3</v>
      </c>
      <c r="K175" t="inlineStr">
        <is>
          <t>Damp</t>
        </is>
      </c>
      <c r="M175" t="inlineStr">
        <is>
          <t>S01</t>
        </is>
      </c>
    </row>
    <row r="176">
      <c r="A176" t="inlineStr">
        <is>
          <t>2026-05-04</t>
        </is>
      </c>
      <c r="B176" t="inlineStr">
        <is>
          <t>PIG-B02</t>
        </is>
      </c>
      <c r="C176" t="inlineStr">
        <is>
          <t>Pen 1</t>
        </is>
      </c>
      <c r="D176" t="inlineStr">
        <is>
          <t>Pig grower</t>
        </is>
      </c>
      <c r="E176" t="n">
        <v>23.3</v>
      </c>
      <c r="F176" t="n">
        <v>63.4</v>
      </c>
      <c r="G176" t="n">
        <v>0</v>
      </c>
      <c r="H176" t="n">
        <v>0</v>
      </c>
      <c r="I176">
        <f>IFERROR(INDEX(P1_PIG_BATCHES!$E:$E,MATCH(B176,P1_PIG_BATCHES!$A:$A,0))-G176-H176,0)</f>
        <v/>
      </c>
      <c r="J176" t="n">
        <v>22.9</v>
      </c>
      <c r="K176" t="inlineStr">
        <is>
          <t>Damp</t>
        </is>
      </c>
      <c r="M176" t="inlineStr">
        <is>
          <t>S01</t>
        </is>
      </c>
    </row>
    <row r="177">
      <c r="A177" t="inlineStr">
        <is>
          <t>2026-05-05</t>
        </is>
      </c>
      <c r="B177" t="inlineStr">
        <is>
          <t>PIG-B02</t>
        </is>
      </c>
      <c r="C177" t="inlineStr">
        <is>
          <t>Pen 1</t>
        </is>
      </c>
      <c r="D177" t="inlineStr">
        <is>
          <t>Pig grower</t>
        </is>
      </c>
      <c r="E177" t="n">
        <v>22.6</v>
      </c>
      <c r="F177" t="n">
        <v>59.3</v>
      </c>
      <c r="G177" t="n">
        <v>1</v>
      </c>
      <c r="H177" t="n">
        <v>0</v>
      </c>
      <c r="I177">
        <f>IFERROR(INDEX(P1_PIG_BATCHES!$E:$E,MATCH(B177,P1_PIG_BATCHES!$A:$A,0))-G177-H177,0)</f>
        <v/>
      </c>
      <c r="J177" t="n">
        <v>25.6</v>
      </c>
      <c r="K177" t="inlineStr">
        <is>
          <t>Damp</t>
        </is>
      </c>
      <c r="M177" t="inlineStr">
        <is>
          <t>S01</t>
        </is>
      </c>
    </row>
    <row r="178">
      <c r="A178" t="inlineStr">
        <is>
          <t>2026-05-06</t>
        </is>
      </c>
      <c r="B178" t="inlineStr">
        <is>
          <t>PIG-B02</t>
        </is>
      </c>
      <c r="C178" t="inlineStr">
        <is>
          <t>Pen 1</t>
        </is>
      </c>
      <c r="D178" t="inlineStr">
        <is>
          <t>Pig grower</t>
        </is>
      </c>
      <c r="E178" t="n">
        <v>33.2</v>
      </c>
      <c r="F178" t="n">
        <v>74</v>
      </c>
      <c r="G178" t="n">
        <v>0</v>
      </c>
      <c r="H178" t="n">
        <v>0</v>
      </c>
      <c r="I178">
        <f>IFERROR(INDEX(P1_PIG_BATCHES!$E:$E,MATCH(B178,P1_PIG_BATCHES!$A:$A,0))-G178-H178,0)</f>
        <v/>
      </c>
      <c r="J178" t="n">
        <v>22.5</v>
      </c>
      <c r="K178" t="inlineStr">
        <is>
          <t>Dry</t>
        </is>
      </c>
      <c r="M178" t="inlineStr">
        <is>
          <t>S01</t>
        </is>
      </c>
    </row>
    <row r="179">
      <c r="A179" t="inlineStr">
        <is>
          <t>2026-05-07</t>
        </is>
      </c>
      <c r="B179" t="inlineStr">
        <is>
          <t>PIG-B02</t>
        </is>
      </c>
      <c r="C179" t="inlineStr">
        <is>
          <t>Pen 1</t>
        </is>
      </c>
      <c r="D179" t="inlineStr">
        <is>
          <t>Pig grower</t>
        </is>
      </c>
      <c r="E179" t="n">
        <v>38.6</v>
      </c>
      <c r="F179" t="n">
        <v>101.3</v>
      </c>
      <c r="G179" t="n">
        <v>0</v>
      </c>
      <c r="H179" t="n">
        <v>0</v>
      </c>
      <c r="I179">
        <f>IFERROR(INDEX(P1_PIG_BATCHES!$E:$E,MATCH(B179,P1_PIG_BATCHES!$A:$A,0))-G179-H179,0)</f>
        <v/>
      </c>
      <c r="J179" t="n">
        <v>26.3</v>
      </c>
      <c r="K179" t="inlineStr">
        <is>
          <t>Dry</t>
        </is>
      </c>
      <c r="M179" t="inlineStr">
        <is>
          <t>S01</t>
        </is>
      </c>
    </row>
    <row r="180">
      <c r="A180" t="inlineStr">
        <is>
          <t>2026-05-08</t>
        </is>
      </c>
      <c r="B180" t="inlineStr">
        <is>
          <t>PIG-B02</t>
        </is>
      </c>
      <c r="C180" t="inlineStr">
        <is>
          <t>Pen 1</t>
        </is>
      </c>
      <c r="D180" t="inlineStr">
        <is>
          <t>Pig grower</t>
        </is>
      </c>
      <c r="E180" t="n">
        <v>37.2</v>
      </c>
      <c r="F180" t="n">
        <v>90.2</v>
      </c>
      <c r="G180" t="n">
        <v>0</v>
      </c>
      <c r="H180" t="n">
        <v>0</v>
      </c>
      <c r="I180">
        <f>IFERROR(INDEX(P1_PIG_BATCHES!$E:$E,MATCH(B180,P1_PIG_BATCHES!$A:$A,0))-G180-H180,0)</f>
        <v/>
      </c>
      <c r="J180" t="n">
        <v>27.1</v>
      </c>
      <c r="K180" t="inlineStr">
        <is>
          <t>Dry</t>
        </is>
      </c>
      <c r="M180" t="inlineStr">
        <is>
          <t>S01</t>
        </is>
      </c>
    </row>
    <row r="181">
      <c r="A181" t="inlineStr">
        <is>
          <t>2026-05-09</t>
        </is>
      </c>
      <c r="B181" t="inlineStr">
        <is>
          <t>PIG-B02</t>
        </is>
      </c>
      <c r="C181" t="inlineStr">
        <is>
          <t>Pen 1</t>
        </is>
      </c>
      <c r="D181" t="inlineStr">
        <is>
          <t>Pig grower</t>
        </is>
      </c>
      <c r="E181" t="n">
        <v>35.5</v>
      </c>
      <c r="F181" t="n">
        <v>100.9</v>
      </c>
      <c r="G181" t="n">
        <v>0</v>
      </c>
      <c r="H181" t="n">
        <v>0</v>
      </c>
      <c r="I181">
        <f>IFERROR(INDEX(P1_PIG_BATCHES!$E:$E,MATCH(B181,P1_PIG_BATCHES!$A:$A,0))-G181-H181,0)</f>
        <v/>
      </c>
      <c r="J181" t="n">
        <v>23.4</v>
      </c>
      <c r="K181" t="inlineStr">
        <is>
          <t>Dry</t>
        </is>
      </c>
      <c r="M181" t="inlineStr">
        <is>
          <t>S01</t>
        </is>
      </c>
    </row>
    <row r="182">
      <c r="A182" t="inlineStr">
        <is>
          <t>2026-05-10</t>
        </is>
      </c>
      <c r="B182" t="inlineStr">
        <is>
          <t>PIG-B02</t>
        </is>
      </c>
      <c r="C182" t="inlineStr">
        <is>
          <t>Pen 1</t>
        </is>
      </c>
      <c r="D182" t="inlineStr">
        <is>
          <t>Pig grower</t>
        </is>
      </c>
      <c r="E182" t="n">
        <v>43.2</v>
      </c>
      <c r="F182" t="n">
        <v>96</v>
      </c>
      <c r="G182" t="n">
        <v>0</v>
      </c>
      <c r="H182" t="n">
        <v>0</v>
      </c>
      <c r="I182">
        <f>IFERROR(INDEX(P1_PIG_BATCHES!$E:$E,MATCH(B182,P1_PIG_BATCHES!$A:$A,0))-G182-H182,0)</f>
        <v/>
      </c>
      <c r="J182" t="n">
        <v>21.9</v>
      </c>
      <c r="K182" t="inlineStr">
        <is>
          <t>Dry</t>
        </is>
      </c>
      <c r="M182" t="inlineStr">
        <is>
          <t>S01</t>
        </is>
      </c>
    </row>
    <row r="183">
      <c r="A183" t="inlineStr">
        <is>
          <t>2026-05-11</t>
        </is>
      </c>
      <c r="B183" t="inlineStr">
        <is>
          <t>PIG-B02</t>
        </is>
      </c>
      <c r="C183" t="inlineStr">
        <is>
          <t>Pen 1</t>
        </is>
      </c>
      <c r="D183" t="inlineStr">
        <is>
          <t>Pig finisher</t>
        </is>
      </c>
      <c r="E183" t="n">
        <v>35.6</v>
      </c>
      <c r="F183" t="n">
        <v>95.3</v>
      </c>
      <c r="G183" t="n">
        <v>0</v>
      </c>
      <c r="H183" t="n">
        <v>0</v>
      </c>
      <c r="I183">
        <f>IFERROR(INDEX(P1_PIG_BATCHES!$E:$E,MATCH(B183,P1_PIG_BATCHES!$A:$A,0))-G183-H183,0)</f>
        <v/>
      </c>
      <c r="J183" t="n">
        <v>25.5</v>
      </c>
      <c r="K183" t="inlineStr">
        <is>
          <t>Dry</t>
        </is>
      </c>
      <c r="M183" t="inlineStr">
        <is>
          <t>S01</t>
        </is>
      </c>
    </row>
    <row r="184">
      <c r="A184" t="inlineStr">
        <is>
          <t>2026-05-12</t>
        </is>
      </c>
      <c r="B184" t="inlineStr">
        <is>
          <t>PIG-B02</t>
        </is>
      </c>
      <c r="C184" t="inlineStr">
        <is>
          <t>Pen 1</t>
        </is>
      </c>
      <c r="D184" t="inlineStr">
        <is>
          <t>Pig finisher</t>
        </is>
      </c>
      <c r="E184" t="n">
        <v>42.8</v>
      </c>
      <c r="F184" t="n">
        <v>108</v>
      </c>
      <c r="G184" t="n">
        <v>0</v>
      </c>
      <c r="H184" t="n">
        <v>0</v>
      </c>
      <c r="I184">
        <f>IFERROR(INDEX(P1_PIG_BATCHES!$E:$E,MATCH(B184,P1_PIG_BATCHES!$A:$A,0))-G184-H184,0)</f>
        <v/>
      </c>
      <c r="J184" t="n">
        <v>22.1</v>
      </c>
      <c r="K184" t="inlineStr">
        <is>
          <t>Dry</t>
        </is>
      </c>
      <c r="M184" t="inlineStr">
        <is>
          <t>S01</t>
        </is>
      </c>
    </row>
    <row r="185">
      <c r="A185" t="inlineStr">
        <is>
          <t>2026-05-13</t>
        </is>
      </c>
      <c r="B185" t="inlineStr">
        <is>
          <t>PIG-B02</t>
        </is>
      </c>
      <c r="C185" t="inlineStr">
        <is>
          <t>Pen 1</t>
        </is>
      </c>
      <c r="D185" t="inlineStr">
        <is>
          <t>Pig finisher</t>
        </is>
      </c>
      <c r="E185" t="n">
        <v>44.5</v>
      </c>
      <c r="F185" t="n">
        <v>100.3</v>
      </c>
      <c r="G185" t="n">
        <v>0</v>
      </c>
      <c r="H185" t="n">
        <v>0</v>
      </c>
      <c r="I185">
        <f>IFERROR(INDEX(P1_PIG_BATCHES!$E:$E,MATCH(B185,P1_PIG_BATCHES!$A:$A,0))-G185-H185,0)</f>
        <v/>
      </c>
      <c r="J185" t="n">
        <v>24</v>
      </c>
      <c r="K185" t="inlineStr">
        <is>
          <t>Dry</t>
        </is>
      </c>
      <c r="M185" t="inlineStr">
        <is>
          <t>S01</t>
        </is>
      </c>
    </row>
    <row r="186">
      <c r="A186" t="inlineStr">
        <is>
          <t>2026-05-14</t>
        </is>
      </c>
      <c r="B186" t="inlineStr">
        <is>
          <t>PIG-B02</t>
        </is>
      </c>
      <c r="C186" t="inlineStr">
        <is>
          <t>Pen 1</t>
        </is>
      </c>
      <c r="D186" t="inlineStr">
        <is>
          <t>Pig finisher</t>
        </is>
      </c>
      <c r="E186" t="n">
        <v>44.6</v>
      </c>
      <c r="F186" t="n">
        <v>124</v>
      </c>
      <c r="G186" t="n">
        <v>0</v>
      </c>
      <c r="H186" t="n">
        <v>0</v>
      </c>
      <c r="I186">
        <f>IFERROR(INDEX(P1_PIG_BATCHES!$E:$E,MATCH(B186,P1_PIG_BATCHES!$A:$A,0))-G186-H186,0)</f>
        <v/>
      </c>
      <c r="J186" t="n">
        <v>22.7</v>
      </c>
      <c r="K186" t="inlineStr">
        <is>
          <t>Dry</t>
        </is>
      </c>
      <c r="M186" t="inlineStr">
        <is>
          <t>S01</t>
        </is>
      </c>
    </row>
    <row r="187">
      <c r="A187" t="inlineStr">
        <is>
          <t>2026-05-15</t>
        </is>
      </c>
      <c r="B187" t="inlineStr">
        <is>
          <t>PIG-B02</t>
        </is>
      </c>
      <c r="C187" t="inlineStr">
        <is>
          <t>Pen 1</t>
        </is>
      </c>
      <c r="D187" t="inlineStr">
        <is>
          <t>Pig finisher</t>
        </is>
      </c>
      <c r="E187" t="n">
        <v>43.6</v>
      </c>
      <c r="F187" t="n">
        <v>107.3</v>
      </c>
      <c r="G187" t="n">
        <v>0</v>
      </c>
      <c r="H187" t="n">
        <v>0</v>
      </c>
      <c r="I187">
        <f>IFERROR(INDEX(P1_PIG_BATCHES!$E:$E,MATCH(B187,P1_PIG_BATCHES!$A:$A,0))-G187-H187,0)</f>
        <v/>
      </c>
      <c r="J187" t="n">
        <v>22.6</v>
      </c>
      <c r="K187" t="inlineStr">
        <is>
          <t>Dry</t>
        </is>
      </c>
      <c r="M187" t="inlineStr">
        <is>
          <t>S01</t>
        </is>
      </c>
    </row>
    <row r="188">
      <c r="A188" t="inlineStr">
        <is>
          <t>2026-05-16</t>
        </is>
      </c>
      <c r="B188" t="inlineStr">
        <is>
          <t>PIG-B02</t>
        </is>
      </c>
      <c r="C188" t="inlineStr">
        <is>
          <t>Pen 1</t>
        </is>
      </c>
      <c r="D188" t="inlineStr">
        <is>
          <t>Pig finisher</t>
        </is>
      </c>
      <c r="E188" t="n">
        <v>44</v>
      </c>
      <c r="F188" t="n">
        <v>104.8</v>
      </c>
      <c r="G188" t="n">
        <v>0</v>
      </c>
      <c r="H188" t="n">
        <v>0</v>
      </c>
      <c r="I188">
        <f>IFERROR(INDEX(P1_PIG_BATCHES!$E:$E,MATCH(B188,P1_PIG_BATCHES!$A:$A,0))-G188-H188,0)</f>
        <v/>
      </c>
      <c r="J188" t="n">
        <v>22.6</v>
      </c>
      <c r="K188" t="inlineStr">
        <is>
          <t>Dry</t>
        </is>
      </c>
      <c r="M188" t="inlineStr">
        <is>
          <t>S01</t>
        </is>
      </c>
    </row>
    <row r="189">
      <c r="A189" t="inlineStr">
        <is>
          <t>2026-05-17</t>
        </is>
      </c>
      <c r="B189" t="inlineStr">
        <is>
          <t>PIG-B02</t>
        </is>
      </c>
      <c r="C189" t="inlineStr">
        <is>
          <t>Pen 1</t>
        </is>
      </c>
      <c r="D189" t="inlineStr">
        <is>
          <t>Pig finisher</t>
        </is>
      </c>
      <c r="E189" t="n">
        <v>47.4</v>
      </c>
      <c r="F189" t="n">
        <v>137.3</v>
      </c>
      <c r="G189" t="n">
        <v>0</v>
      </c>
      <c r="H189" t="n">
        <v>0</v>
      </c>
      <c r="I189">
        <f>IFERROR(INDEX(P1_PIG_BATCHES!$E:$E,MATCH(B189,P1_PIG_BATCHES!$A:$A,0))-G189-H189,0)</f>
        <v/>
      </c>
      <c r="J189" t="n">
        <v>27</v>
      </c>
      <c r="K189" t="inlineStr">
        <is>
          <t>Dry</t>
        </is>
      </c>
      <c r="M189" t="inlineStr">
        <is>
          <t>S01</t>
        </is>
      </c>
    </row>
    <row r="190">
      <c r="A190" t="inlineStr">
        <is>
          <t>2026-05-18</t>
        </is>
      </c>
      <c r="B190" t="inlineStr">
        <is>
          <t>PIG-B02</t>
        </is>
      </c>
      <c r="C190" t="inlineStr">
        <is>
          <t>Pen 1</t>
        </is>
      </c>
      <c r="D190" t="inlineStr">
        <is>
          <t>Pig finisher</t>
        </is>
      </c>
      <c r="E190" t="n">
        <v>42.5</v>
      </c>
      <c r="F190" t="n">
        <v>110.4</v>
      </c>
      <c r="G190" t="n">
        <v>0</v>
      </c>
      <c r="H190" t="n">
        <v>0</v>
      </c>
      <c r="I190">
        <f>IFERROR(INDEX(P1_PIG_BATCHES!$E:$E,MATCH(B190,P1_PIG_BATCHES!$A:$A,0))-G190-H190,0)</f>
        <v/>
      </c>
      <c r="J190" t="n">
        <v>27.4</v>
      </c>
      <c r="K190" t="inlineStr">
        <is>
          <t>Dry</t>
        </is>
      </c>
      <c r="M190" t="inlineStr">
        <is>
          <t>S01</t>
        </is>
      </c>
    </row>
    <row r="191">
      <c r="A191" t="inlineStr">
        <is>
          <t>2026-05-19</t>
        </is>
      </c>
      <c r="B191" t="inlineStr">
        <is>
          <t>PIG-B02</t>
        </is>
      </c>
      <c r="C191" t="inlineStr">
        <is>
          <t>Pen 1</t>
        </is>
      </c>
      <c r="D191" t="inlineStr">
        <is>
          <t>Pig finisher</t>
        </is>
      </c>
      <c r="E191" t="n">
        <v>45.5</v>
      </c>
      <c r="F191" t="n">
        <v>128.4</v>
      </c>
      <c r="G191" t="n">
        <v>0</v>
      </c>
      <c r="H191" t="n">
        <v>0</v>
      </c>
      <c r="I191">
        <f>IFERROR(INDEX(P1_PIG_BATCHES!$E:$E,MATCH(B191,P1_PIG_BATCHES!$A:$A,0))-G191-H191,0)</f>
        <v/>
      </c>
      <c r="J191" t="n">
        <v>22.7</v>
      </c>
      <c r="K191" t="inlineStr">
        <is>
          <t>Dry</t>
        </is>
      </c>
      <c r="M191" t="inlineStr">
        <is>
          <t>S01</t>
        </is>
      </c>
    </row>
    <row r="192">
      <c r="A192" t="inlineStr">
        <is>
          <t>2026-05-20</t>
        </is>
      </c>
      <c r="B192" t="inlineStr">
        <is>
          <t>PIG-B02</t>
        </is>
      </c>
      <c r="C192" t="inlineStr">
        <is>
          <t>Pen 1</t>
        </is>
      </c>
      <c r="D192" t="inlineStr">
        <is>
          <t>Pig finisher</t>
        </is>
      </c>
      <c r="E192" t="n">
        <v>40.5</v>
      </c>
      <c r="F192" t="n">
        <v>101.4</v>
      </c>
      <c r="G192" t="n">
        <v>0</v>
      </c>
      <c r="H192" t="n">
        <v>0</v>
      </c>
      <c r="I192">
        <f>IFERROR(INDEX(P1_PIG_BATCHES!$E:$E,MATCH(B192,P1_PIG_BATCHES!$A:$A,0))-G192-H192,0)</f>
        <v/>
      </c>
      <c r="J192" t="n">
        <v>25.8</v>
      </c>
      <c r="K192" t="inlineStr">
        <is>
          <t>Dry</t>
        </is>
      </c>
      <c r="M192" t="inlineStr">
        <is>
          <t>S01</t>
        </is>
      </c>
    </row>
    <row r="193">
      <c r="A193" t="inlineStr">
        <is>
          <t>2026-05-21</t>
        </is>
      </c>
      <c r="B193" t="inlineStr">
        <is>
          <t>PIG-B02</t>
        </is>
      </c>
      <c r="C193" t="inlineStr">
        <is>
          <t>Pen 1</t>
        </is>
      </c>
      <c r="D193" t="inlineStr">
        <is>
          <t>Pig finisher</t>
        </is>
      </c>
      <c r="E193" t="n">
        <v>48.4</v>
      </c>
      <c r="F193" t="n">
        <v>118.3</v>
      </c>
      <c r="G193" t="n">
        <v>0</v>
      </c>
      <c r="H193" t="n">
        <v>0</v>
      </c>
      <c r="I193">
        <f>IFERROR(INDEX(P1_PIG_BATCHES!$E:$E,MATCH(B193,P1_PIG_BATCHES!$A:$A,0))-G193-H193,0)</f>
        <v/>
      </c>
      <c r="J193" t="n">
        <v>25.5</v>
      </c>
      <c r="K193" t="inlineStr">
        <is>
          <t>Dry</t>
        </is>
      </c>
      <c r="M193" t="inlineStr">
        <is>
          <t>S01</t>
        </is>
      </c>
    </row>
    <row r="194">
      <c r="A194" t="inlineStr">
        <is>
          <t>2026-05-22</t>
        </is>
      </c>
      <c r="B194" t="inlineStr">
        <is>
          <t>PIG-B02</t>
        </is>
      </c>
      <c r="C194" t="inlineStr">
        <is>
          <t>Pen 1</t>
        </is>
      </c>
      <c r="D194" t="inlineStr">
        <is>
          <t>Pig finisher</t>
        </is>
      </c>
      <c r="E194" t="n">
        <v>49.6</v>
      </c>
      <c r="F194" t="n">
        <v>131.4</v>
      </c>
      <c r="G194" t="n">
        <v>0</v>
      </c>
      <c r="H194" t="n">
        <v>0</v>
      </c>
      <c r="I194">
        <f>IFERROR(INDEX(P1_PIG_BATCHES!$E:$E,MATCH(B194,P1_PIG_BATCHES!$A:$A,0))-G194-H194,0)</f>
        <v/>
      </c>
      <c r="J194" t="n">
        <v>27.4</v>
      </c>
      <c r="K194" t="inlineStr">
        <is>
          <t>Dry</t>
        </is>
      </c>
      <c r="M194" t="inlineStr">
        <is>
          <t>S01</t>
        </is>
      </c>
    </row>
    <row r="195">
      <c r="A195" t="inlineStr">
        <is>
          <t>2026-05-23</t>
        </is>
      </c>
      <c r="B195" t="inlineStr">
        <is>
          <t>PIG-B02</t>
        </is>
      </c>
      <c r="C195" t="inlineStr">
        <is>
          <t>Pen 1</t>
        </is>
      </c>
      <c r="D195" t="inlineStr">
        <is>
          <t>Pig finisher</t>
        </is>
      </c>
      <c r="E195" t="n">
        <v>41.6</v>
      </c>
      <c r="F195" t="n">
        <v>99.8</v>
      </c>
      <c r="G195" t="n">
        <v>0</v>
      </c>
      <c r="H195" t="n">
        <v>0</v>
      </c>
      <c r="I195">
        <f>IFERROR(INDEX(P1_PIG_BATCHES!$E:$E,MATCH(B195,P1_PIG_BATCHES!$A:$A,0))-G195-H195,0)</f>
        <v/>
      </c>
      <c r="J195" t="n">
        <v>21.9</v>
      </c>
      <c r="K195" t="inlineStr">
        <is>
          <t>Dry</t>
        </is>
      </c>
      <c r="M195" t="inlineStr">
        <is>
          <t>S01</t>
        </is>
      </c>
    </row>
    <row r="196">
      <c r="A196" t="inlineStr">
        <is>
          <t>2026-05-24</t>
        </is>
      </c>
      <c r="B196" t="inlineStr">
        <is>
          <t>PIG-B02</t>
        </is>
      </c>
      <c r="C196" t="inlineStr">
        <is>
          <t>Pen 1</t>
        </is>
      </c>
      <c r="D196" t="inlineStr">
        <is>
          <t>Pig finisher</t>
        </is>
      </c>
      <c r="E196" t="n">
        <v>50.7</v>
      </c>
      <c r="F196" t="n">
        <v>145.5</v>
      </c>
      <c r="G196" t="n">
        <v>0</v>
      </c>
      <c r="H196" t="n">
        <v>0</v>
      </c>
      <c r="I196">
        <f>IFERROR(INDEX(P1_PIG_BATCHES!$E:$E,MATCH(B196,P1_PIG_BATCHES!$A:$A,0))-G196-H196,0)</f>
        <v/>
      </c>
      <c r="J196" t="n">
        <v>21.1</v>
      </c>
      <c r="K196" t="inlineStr">
        <is>
          <t>Dry</t>
        </is>
      </c>
      <c r="M196" t="inlineStr">
        <is>
          <t>S01</t>
        </is>
      </c>
    </row>
    <row r="197">
      <c r="A197" t="inlineStr">
        <is>
          <t>2026-05-25</t>
        </is>
      </c>
      <c r="B197" t="inlineStr">
        <is>
          <t>PIG-B02</t>
        </is>
      </c>
      <c r="C197" t="inlineStr">
        <is>
          <t>Pen 1</t>
        </is>
      </c>
      <c r="D197" t="inlineStr">
        <is>
          <t>Pig finisher</t>
        </is>
      </c>
      <c r="E197" t="n">
        <v>43.1</v>
      </c>
      <c r="F197" t="n">
        <v>104.3</v>
      </c>
      <c r="G197" t="n">
        <v>0</v>
      </c>
      <c r="H197" t="n">
        <v>0</v>
      </c>
      <c r="I197">
        <f>IFERROR(INDEX(P1_PIG_BATCHES!$E:$E,MATCH(B197,P1_PIG_BATCHES!$A:$A,0))-G197-H197,0)</f>
        <v/>
      </c>
      <c r="J197" t="n">
        <v>25.3</v>
      </c>
      <c r="K197" t="inlineStr">
        <is>
          <t>Dry</t>
        </is>
      </c>
      <c r="M197" t="inlineStr">
        <is>
          <t>S01</t>
        </is>
      </c>
    </row>
    <row r="198">
      <c r="A198" t="inlineStr">
        <is>
          <t>2026-05-26</t>
        </is>
      </c>
      <c r="B198" t="inlineStr">
        <is>
          <t>PIG-B02</t>
        </is>
      </c>
      <c r="C198" t="inlineStr">
        <is>
          <t>Pen 1</t>
        </is>
      </c>
      <c r="D198" t="inlineStr">
        <is>
          <t>Pig finisher</t>
        </is>
      </c>
      <c r="E198" t="n">
        <v>51.2</v>
      </c>
      <c r="F198" t="n">
        <v>120.7</v>
      </c>
      <c r="G198" t="n">
        <v>0</v>
      </c>
      <c r="H198" t="n">
        <v>0</v>
      </c>
      <c r="I198">
        <f>IFERROR(INDEX(P1_PIG_BATCHES!$E:$E,MATCH(B198,P1_PIG_BATCHES!$A:$A,0))-G198-H198,0)</f>
        <v/>
      </c>
      <c r="J198" t="n">
        <v>25.9</v>
      </c>
      <c r="K198" t="inlineStr">
        <is>
          <t>Dry</t>
        </is>
      </c>
      <c r="M198" t="inlineStr">
        <is>
          <t>S01</t>
        </is>
      </c>
    </row>
    <row r="199">
      <c r="A199" t="inlineStr">
        <is>
          <t>2026-05-27</t>
        </is>
      </c>
      <c r="B199" t="inlineStr">
        <is>
          <t>PIG-B02</t>
        </is>
      </c>
      <c r="C199" t="inlineStr">
        <is>
          <t>Pen 1</t>
        </is>
      </c>
      <c r="D199" t="inlineStr">
        <is>
          <t>Pig finisher</t>
        </is>
      </c>
      <c r="E199" t="n">
        <v>48.1</v>
      </c>
      <c r="F199" t="n">
        <v>124.3</v>
      </c>
      <c r="G199" t="n">
        <v>0</v>
      </c>
      <c r="H199" t="n">
        <v>0</v>
      </c>
      <c r="I199">
        <f>IFERROR(INDEX(P1_PIG_BATCHES!$E:$E,MATCH(B199,P1_PIG_BATCHES!$A:$A,0))-G199-H199,0)</f>
        <v/>
      </c>
      <c r="J199" t="n">
        <v>26.7</v>
      </c>
      <c r="K199" t="inlineStr">
        <is>
          <t>Dry</t>
        </is>
      </c>
      <c r="M199" t="inlineStr">
        <is>
          <t>S01</t>
        </is>
      </c>
    </row>
    <row r="200">
      <c r="A200" t="inlineStr">
        <is>
          <t>2026-05-28</t>
        </is>
      </c>
      <c r="B200" t="inlineStr">
        <is>
          <t>PIG-B02</t>
        </is>
      </c>
      <c r="C200" t="inlineStr">
        <is>
          <t>Pen 1</t>
        </is>
      </c>
      <c r="D200" t="inlineStr">
        <is>
          <t>Pig finisher</t>
        </is>
      </c>
      <c r="E200" t="n">
        <v>53.1</v>
      </c>
      <c r="F200" t="n">
        <v>118</v>
      </c>
      <c r="G200" t="n">
        <v>0</v>
      </c>
      <c r="H200" t="n">
        <v>0</v>
      </c>
      <c r="I200">
        <f>IFERROR(INDEX(P1_PIG_BATCHES!$E:$E,MATCH(B200,P1_PIG_BATCHES!$A:$A,0))-G200-H200,0)</f>
        <v/>
      </c>
      <c r="J200" t="n">
        <v>27.1</v>
      </c>
      <c r="K200" t="inlineStr">
        <is>
          <t>Dry</t>
        </is>
      </c>
      <c r="M200" t="inlineStr">
        <is>
          <t>S01</t>
        </is>
      </c>
    </row>
    <row r="201">
      <c r="A201" t="inlineStr">
        <is>
          <t>2026-05-29</t>
        </is>
      </c>
      <c r="B201" t="inlineStr">
        <is>
          <t>PIG-B02</t>
        </is>
      </c>
      <c r="C201" t="inlineStr">
        <is>
          <t>Pen 1</t>
        </is>
      </c>
      <c r="D201" t="inlineStr">
        <is>
          <t>Pig finisher</t>
        </is>
      </c>
      <c r="E201" t="n">
        <v>43.9</v>
      </c>
      <c r="F201" t="n">
        <v>131.2</v>
      </c>
      <c r="G201" t="n">
        <v>0</v>
      </c>
      <c r="H201" t="n">
        <v>0</v>
      </c>
      <c r="I201">
        <f>IFERROR(INDEX(P1_PIG_BATCHES!$E:$E,MATCH(B201,P1_PIG_BATCHES!$A:$A,0))-G201-H201,0)</f>
        <v/>
      </c>
      <c r="J201" t="n">
        <v>23.8</v>
      </c>
      <c r="K201" t="inlineStr">
        <is>
          <t>Dry</t>
        </is>
      </c>
      <c r="M201" t="inlineStr">
        <is>
          <t>S01</t>
        </is>
      </c>
    </row>
    <row r="202">
      <c r="A202" t="inlineStr">
        <is>
          <t>2026-05-30</t>
        </is>
      </c>
      <c r="B202" t="inlineStr">
        <is>
          <t>PIG-B02</t>
        </is>
      </c>
      <c r="C202" t="inlineStr">
        <is>
          <t>Pen 1</t>
        </is>
      </c>
      <c r="D202" t="inlineStr">
        <is>
          <t>Pig finisher</t>
        </is>
      </c>
      <c r="E202" t="n">
        <v>50</v>
      </c>
      <c r="F202" t="n">
        <v>118.5</v>
      </c>
      <c r="G202" t="n">
        <v>0</v>
      </c>
      <c r="H202" t="n">
        <v>0</v>
      </c>
      <c r="I202">
        <f>IFERROR(INDEX(P1_PIG_BATCHES!$E:$E,MATCH(B202,P1_PIG_BATCHES!$A:$A,0))-G202-H202,0)</f>
        <v/>
      </c>
      <c r="J202" t="n">
        <v>27</v>
      </c>
      <c r="K202" t="inlineStr">
        <is>
          <t>Dry</t>
        </is>
      </c>
      <c r="M202" t="inlineStr">
        <is>
          <t>S01</t>
        </is>
      </c>
    </row>
    <row r="203">
      <c r="A203" t="inlineStr">
        <is>
          <t>2026-05-31</t>
        </is>
      </c>
      <c r="B203" t="inlineStr">
        <is>
          <t>PIG-B02</t>
        </is>
      </c>
      <c r="C203" t="inlineStr">
        <is>
          <t>Pen 1</t>
        </is>
      </c>
      <c r="D203" t="inlineStr">
        <is>
          <t>Pig finisher</t>
        </is>
      </c>
      <c r="E203" t="n">
        <v>52.5</v>
      </c>
      <c r="F203" t="n">
        <v>131.6</v>
      </c>
      <c r="G203" t="n">
        <v>0</v>
      </c>
      <c r="H203" t="n">
        <v>0</v>
      </c>
      <c r="I203">
        <f>IFERROR(INDEX(P1_PIG_BATCHES!$E:$E,MATCH(B203,P1_PIG_BATCHES!$A:$A,0))-G203-H203,0)</f>
        <v/>
      </c>
      <c r="J203" t="n">
        <v>24.2</v>
      </c>
      <c r="K203" t="inlineStr">
        <is>
          <t>Dry</t>
        </is>
      </c>
      <c r="M203" t="inlineStr">
        <is>
          <t>S01</t>
        </is>
      </c>
    </row>
    <row r="204">
      <c r="A204" t="inlineStr">
        <is>
          <t>2026-06-01</t>
        </is>
      </c>
      <c r="B204" t="inlineStr">
        <is>
          <t>PIG-B02</t>
        </is>
      </c>
      <c r="C204" t="inlineStr">
        <is>
          <t>Pen 1</t>
        </is>
      </c>
      <c r="D204" t="inlineStr">
        <is>
          <t>Pig finisher</t>
        </is>
      </c>
      <c r="E204" t="n">
        <v>46.9</v>
      </c>
      <c r="F204" t="n">
        <v>122.4</v>
      </c>
      <c r="G204" t="n">
        <v>0</v>
      </c>
      <c r="H204" t="n">
        <v>0</v>
      </c>
      <c r="I204">
        <f>IFERROR(INDEX(P1_PIG_BATCHES!$E:$E,MATCH(B204,P1_PIG_BATCHES!$A:$A,0))-G204-H204,0)</f>
        <v/>
      </c>
      <c r="J204" t="n">
        <v>24</v>
      </c>
      <c r="K204" t="inlineStr">
        <is>
          <t>Dry</t>
        </is>
      </c>
      <c r="M204" t="inlineStr">
        <is>
          <t>S01</t>
        </is>
      </c>
    </row>
    <row r="205">
      <c r="A205" t="inlineStr">
        <is>
          <t>2026-06-02</t>
        </is>
      </c>
      <c r="B205" t="inlineStr">
        <is>
          <t>PIG-B02</t>
        </is>
      </c>
      <c r="C205" t="inlineStr">
        <is>
          <t>Pen 1</t>
        </is>
      </c>
      <c r="D205" t="inlineStr">
        <is>
          <t>Pig finisher</t>
        </is>
      </c>
      <c r="E205" t="n">
        <v>56</v>
      </c>
      <c r="F205" t="n">
        <v>144.3</v>
      </c>
      <c r="G205" t="n">
        <v>0</v>
      </c>
      <c r="H205" t="n">
        <v>0</v>
      </c>
      <c r="I205">
        <f>IFERROR(INDEX(P1_PIG_BATCHES!$E:$E,MATCH(B205,P1_PIG_BATCHES!$A:$A,0))-G205-H205,0)</f>
        <v/>
      </c>
      <c r="J205" t="n">
        <v>26.4</v>
      </c>
      <c r="K205" t="inlineStr">
        <is>
          <t>Dry</t>
        </is>
      </c>
      <c r="M205" t="inlineStr">
        <is>
          <t>S01</t>
        </is>
      </c>
    </row>
    <row r="206">
      <c r="A206" t="inlineStr">
        <is>
          <t>2026-06-03</t>
        </is>
      </c>
      <c r="B206" t="inlineStr">
        <is>
          <t>PIG-B02</t>
        </is>
      </c>
      <c r="C206" t="inlineStr">
        <is>
          <t>Pen 1</t>
        </is>
      </c>
      <c r="D206" t="inlineStr">
        <is>
          <t>Pig finisher</t>
        </is>
      </c>
      <c r="E206" t="n">
        <v>49.1</v>
      </c>
      <c r="F206" t="n">
        <v>124.4</v>
      </c>
      <c r="G206" t="n">
        <v>0</v>
      </c>
      <c r="H206" t="n">
        <v>0</v>
      </c>
      <c r="I206">
        <f>IFERROR(INDEX(P1_PIG_BATCHES!$E:$E,MATCH(B206,P1_PIG_BATCHES!$A:$A,0))-G206-H206,0)</f>
        <v/>
      </c>
      <c r="J206" t="n">
        <v>24.5</v>
      </c>
      <c r="K206" t="inlineStr">
        <is>
          <t>Dry</t>
        </is>
      </c>
      <c r="M206" t="inlineStr">
        <is>
          <t>S01</t>
        </is>
      </c>
    </row>
    <row r="207">
      <c r="A207" t="inlineStr">
        <is>
          <t>2026-06-04</t>
        </is>
      </c>
      <c r="B207" t="inlineStr">
        <is>
          <t>PIG-B02</t>
        </is>
      </c>
      <c r="C207" t="inlineStr">
        <is>
          <t>Pen 1</t>
        </is>
      </c>
      <c r="D207" t="inlineStr">
        <is>
          <t>Pig finisher</t>
        </is>
      </c>
      <c r="E207" t="n">
        <v>46.8</v>
      </c>
      <c r="F207" t="n">
        <v>112.9</v>
      </c>
      <c r="G207" t="n">
        <v>0</v>
      </c>
      <c r="H207" t="n">
        <v>0</v>
      </c>
      <c r="I207">
        <f>IFERROR(INDEX(P1_PIG_BATCHES!$E:$E,MATCH(B207,P1_PIG_BATCHES!$A:$A,0))-G207-H207,0)</f>
        <v/>
      </c>
      <c r="J207" t="n">
        <v>27.1</v>
      </c>
      <c r="K207" t="inlineStr">
        <is>
          <t>Dry</t>
        </is>
      </c>
      <c r="M207" t="inlineStr">
        <is>
          <t>S01</t>
        </is>
      </c>
    </row>
    <row r="208">
      <c r="A208" t="inlineStr">
        <is>
          <t>2026-06-05</t>
        </is>
      </c>
      <c r="B208" t="inlineStr">
        <is>
          <t>PIG-B02</t>
        </is>
      </c>
      <c r="C208" t="inlineStr">
        <is>
          <t>Pen 1</t>
        </is>
      </c>
      <c r="D208" t="inlineStr">
        <is>
          <t>Pig finisher</t>
        </is>
      </c>
      <c r="E208" t="n">
        <v>50.6</v>
      </c>
      <c r="F208" t="n">
        <v>117.8</v>
      </c>
      <c r="G208" t="n">
        <v>0</v>
      </c>
      <c r="H208" t="n">
        <v>0</v>
      </c>
      <c r="I208">
        <f>IFERROR(INDEX(P1_PIG_BATCHES!$E:$E,MATCH(B208,P1_PIG_BATCHES!$A:$A,0))-G208-H208,0)</f>
        <v/>
      </c>
      <c r="J208" t="n">
        <v>22.8</v>
      </c>
      <c r="K208" t="inlineStr">
        <is>
          <t>Dry</t>
        </is>
      </c>
      <c r="M208" t="inlineStr">
        <is>
          <t>S01</t>
        </is>
      </c>
    </row>
    <row r="209">
      <c r="A209" t="inlineStr">
        <is>
          <t>2026-06-06</t>
        </is>
      </c>
      <c r="B209" t="inlineStr">
        <is>
          <t>PIG-B02</t>
        </is>
      </c>
      <c r="C209" t="inlineStr">
        <is>
          <t>Pen 1</t>
        </is>
      </c>
      <c r="D209" t="inlineStr">
        <is>
          <t>Pig finisher</t>
        </is>
      </c>
      <c r="E209" t="n">
        <v>56.2</v>
      </c>
      <c r="F209" t="n">
        <v>146.1</v>
      </c>
      <c r="G209" t="n">
        <v>0</v>
      </c>
      <c r="H209" t="n">
        <v>0</v>
      </c>
      <c r="I209">
        <f>IFERROR(INDEX(P1_PIG_BATCHES!$E:$E,MATCH(B209,P1_PIG_BATCHES!$A:$A,0))-G209-H209,0)</f>
        <v/>
      </c>
      <c r="J209" t="n">
        <v>25.1</v>
      </c>
      <c r="K209" t="inlineStr">
        <is>
          <t>Dry</t>
        </is>
      </c>
      <c r="M209" t="inlineStr">
        <is>
          <t>S01</t>
        </is>
      </c>
    </row>
    <row r="210">
      <c r="A210" t="inlineStr">
        <is>
          <t>2026-06-07</t>
        </is>
      </c>
      <c r="B210" t="inlineStr">
        <is>
          <t>PIG-B02</t>
        </is>
      </c>
      <c r="C210" t="inlineStr">
        <is>
          <t>Pen 1</t>
        </is>
      </c>
      <c r="D210" t="inlineStr">
        <is>
          <t>Pig finisher</t>
        </is>
      </c>
      <c r="E210" t="n">
        <v>49.5</v>
      </c>
      <c r="F210" t="n">
        <v>141.1</v>
      </c>
      <c r="G210" t="n">
        <v>0</v>
      </c>
      <c r="H210" t="n">
        <v>0</v>
      </c>
      <c r="I210">
        <f>IFERROR(INDEX(P1_PIG_BATCHES!$E:$E,MATCH(B210,P1_PIG_BATCHES!$A:$A,0))-G210-H210,0)</f>
        <v/>
      </c>
      <c r="J210" t="n">
        <v>27.4</v>
      </c>
      <c r="K210" t="inlineStr">
        <is>
          <t>Dry</t>
        </is>
      </c>
      <c r="M210" t="inlineStr">
        <is>
          <t>S01</t>
        </is>
      </c>
    </row>
    <row r="211">
      <c r="A211" t="inlineStr">
        <is>
          <t>2026-06-08</t>
        </is>
      </c>
      <c r="B211" t="inlineStr">
        <is>
          <t>PIG-B02</t>
        </is>
      </c>
      <c r="C211" t="inlineStr">
        <is>
          <t>Pen 1</t>
        </is>
      </c>
      <c r="D211" t="inlineStr">
        <is>
          <t>Pig finisher</t>
        </is>
      </c>
      <c r="E211" t="n">
        <v>52.9</v>
      </c>
      <c r="F211" t="n">
        <v>123.9</v>
      </c>
      <c r="G211" t="n">
        <v>0</v>
      </c>
      <c r="H211" t="n">
        <v>0</v>
      </c>
      <c r="I211">
        <f>IFERROR(INDEX(P1_PIG_BATCHES!$E:$E,MATCH(B211,P1_PIG_BATCHES!$A:$A,0))-G211-H211,0)</f>
        <v/>
      </c>
      <c r="J211" t="n">
        <v>26.1</v>
      </c>
      <c r="K211" t="inlineStr">
        <is>
          <t>Dry</t>
        </is>
      </c>
      <c r="M211" t="inlineStr">
        <is>
          <t>S01</t>
        </is>
      </c>
    </row>
    <row r="212">
      <c r="A212" t="inlineStr">
        <is>
          <t>2026-06-09</t>
        </is>
      </c>
      <c r="B212" t="inlineStr">
        <is>
          <t>PIG-B02</t>
        </is>
      </c>
      <c r="C212" t="inlineStr">
        <is>
          <t>Pen 1</t>
        </is>
      </c>
      <c r="D212" t="inlineStr">
        <is>
          <t>Pig finisher</t>
        </is>
      </c>
      <c r="E212" t="n">
        <v>56.3</v>
      </c>
      <c r="F212" t="n">
        <v>145.9</v>
      </c>
      <c r="G212" t="n">
        <v>0</v>
      </c>
      <c r="H212" t="n">
        <v>0</v>
      </c>
      <c r="I212">
        <f>IFERROR(INDEX(P1_PIG_BATCHES!$E:$E,MATCH(B212,P1_PIG_BATCHES!$A:$A,0))-G212-H212,0)</f>
        <v/>
      </c>
      <c r="J212" t="n">
        <v>27</v>
      </c>
      <c r="K212" t="inlineStr">
        <is>
          <t>Dry</t>
        </is>
      </c>
      <c r="M212" t="inlineStr">
        <is>
          <t>S01</t>
        </is>
      </c>
    </row>
    <row r="213">
      <c r="A213" t="inlineStr">
        <is>
          <t>2026-06-10</t>
        </is>
      </c>
      <c r="B213" t="inlineStr">
        <is>
          <t>PIG-B02</t>
        </is>
      </c>
      <c r="C213" t="inlineStr">
        <is>
          <t>Pen 1</t>
        </is>
      </c>
      <c r="D213" t="inlineStr">
        <is>
          <t>Pig finisher</t>
        </is>
      </c>
      <c r="E213" t="n">
        <v>55.7</v>
      </c>
      <c r="F213" t="n">
        <v>125.6</v>
      </c>
      <c r="G213" t="n">
        <v>0</v>
      </c>
      <c r="H213" t="n">
        <v>0</v>
      </c>
      <c r="I213">
        <f>IFERROR(INDEX(P1_PIG_BATCHES!$E:$E,MATCH(B213,P1_PIG_BATCHES!$A:$A,0))-G213-H213,0)</f>
        <v/>
      </c>
      <c r="J213" t="n">
        <v>20.6</v>
      </c>
      <c r="K213" t="inlineStr">
        <is>
          <t>Dry</t>
        </is>
      </c>
      <c r="M213" t="inlineStr">
        <is>
          <t>S01</t>
        </is>
      </c>
    </row>
    <row r="214">
      <c r="A214" t="inlineStr">
        <is>
          <t>2026-06-11</t>
        </is>
      </c>
      <c r="B214" t="inlineStr">
        <is>
          <t>PIG-B02</t>
        </is>
      </c>
      <c r="C214" t="inlineStr">
        <is>
          <t>Pen 1</t>
        </is>
      </c>
      <c r="D214" t="inlineStr">
        <is>
          <t>Pig finisher</t>
        </is>
      </c>
      <c r="E214" t="n">
        <v>60.2</v>
      </c>
      <c r="F214" t="n">
        <v>164.4</v>
      </c>
      <c r="G214" t="n">
        <v>0</v>
      </c>
      <c r="H214" t="n">
        <v>0</v>
      </c>
      <c r="I214">
        <f>IFERROR(INDEX(P1_PIG_BATCHES!$E:$E,MATCH(B214,P1_PIG_BATCHES!$A:$A,0))-G214-H214,0)</f>
        <v/>
      </c>
      <c r="J214" t="n">
        <v>25.9</v>
      </c>
      <c r="K214" t="inlineStr">
        <is>
          <t>Dry</t>
        </is>
      </c>
      <c r="M214" t="inlineStr">
        <is>
          <t>S01</t>
        </is>
      </c>
    </row>
    <row r="215">
      <c r="A215" t="inlineStr">
        <is>
          <t>2026-06-12</t>
        </is>
      </c>
      <c r="B215" t="inlineStr">
        <is>
          <t>PIG-B02</t>
        </is>
      </c>
      <c r="C215" t="inlineStr">
        <is>
          <t>Pen 1</t>
        </is>
      </c>
      <c r="D215" t="inlineStr">
        <is>
          <t>Pig finisher</t>
        </is>
      </c>
      <c r="E215" t="n">
        <v>59.3</v>
      </c>
      <c r="F215" t="n">
        <v>141.8</v>
      </c>
      <c r="G215" t="n">
        <v>0</v>
      </c>
      <c r="H215" t="n">
        <v>0</v>
      </c>
      <c r="I215">
        <f>IFERROR(INDEX(P1_PIG_BATCHES!$E:$E,MATCH(B215,P1_PIG_BATCHES!$A:$A,0))-G215-H215,0)</f>
        <v/>
      </c>
      <c r="J215" t="n">
        <v>25.5</v>
      </c>
      <c r="K215" t="inlineStr">
        <is>
          <t>Dry</t>
        </is>
      </c>
      <c r="M215" t="inlineStr">
        <is>
          <t>S01</t>
        </is>
      </c>
    </row>
    <row r="216">
      <c r="A216" t="inlineStr">
        <is>
          <t>2026-06-13</t>
        </is>
      </c>
      <c r="B216" t="inlineStr">
        <is>
          <t>PIG-B02</t>
        </is>
      </c>
      <c r="C216" t="inlineStr">
        <is>
          <t>Pen 1</t>
        </is>
      </c>
      <c r="D216" t="inlineStr">
        <is>
          <t>Pig finisher</t>
        </is>
      </c>
      <c r="E216" t="n">
        <v>55.4</v>
      </c>
      <c r="F216" t="n">
        <v>138.6</v>
      </c>
      <c r="G216" t="n">
        <v>0</v>
      </c>
      <c r="H216" t="n">
        <v>0</v>
      </c>
      <c r="I216">
        <f>IFERROR(INDEX(P1_PIG_BATCHES!$E:$E,MATCH(B216,P1_PIG_BATCHES!$A:$A,0))-G216-H216,0)</f>
        <v/>
      </c>
      <c r="J216" t="n">
        <v>24.8</v>
      </c>
      <c r="K216" t="inlineStr">
        <is>
          <t>Dry</t>
        </is>
      </c>
      <c r="M216" t="inlineStr">
        <is>
          <t>S01</t>
        </is>
      </c>
    </row>
    <row r="217">
      <c r="A217" t="inlineStr">
        <is>
          <t>2026-06-14</t>
        </is>
      </c>
      <c r="B217" t="inlineStr">
        <is>
          <t>PIG-B02</t>
        </is>
      </c>
      <c r="C217" t="inlineStr">
        <is>
          <t>Pen 1</t>
        </is>
      </c>
      <c r="D217" t="inlineStr">
        <is>
          <t>Pig finisher</t>
        </is>
      </c>
      <c r="E217" t="n">
        <v>57.3</v>
      </c>
      <c r="F217" t="n">
        <v>148.2</v>
      </c>
      <c r="G217" t="n">
        <v>0</v>
      </c>
      <c r="H217" t="n">
        <v>0</v>
      </c>
      <c r="I217">
        <f>IFERROR(INDEX(P1_PIG_BATCHES!$E:$E,MATCH(B217,P1_PIG_BATCHES!$A:$A,0))-G217-H217,0)</f>
        <v/>
      </c>
      <c r="J217" t="n">
        <v>23.9</v>
      </c>
      <c r="K217" t="inlineStr">
        <is>
          <t>Dry</t>
        </is>
      </c>
      <c r="M217" t="inlineStr">
        <is>
          <t>S01</t>
        </is>
      </c>
    </row>
    <row r="218">
      <c r="A218" t="inlineStr">
        <is>
          <t>2026-06-15</t>
        </is>
      </c>
      <c r="B218" t="inlineStr">
        <is>
          <t>PIG-B02</t>
        </is>
      </c>
      <c r="C218" t="inlineStr">
        <is>
          <t>Pen 1</t>
        </is>
      </c>
      <c r="D218" t="inlineStr">
        <is>
          <t>Pig finisher</t>
        </is>
      </c>
      <c r="E218" t="n">
        <v>56.9</v>
      </c>
      <c r="F218" t="n">
        <v>126.3</v>
      </c>
      <c r="G218" t="n">
        <v>0</v>
      </c>
      <c r="H218" t="n">
        <v>0</v>
      </c>
      <c r="I218">
        <f>IFERROR(INDEX(P1_PIG_BATCHES!$E:$E,MATCH(B218,P1_PIG_BATCHES!$A:$A,0))-G218-H218,0)</f>
        <v/>
      </c>
      <c r="J218" t="n">
        <v>24.2</v>
      </c>
      <c r="K218" t="inlineStr">
        <is>
          <t>Dry</t>
        </is>
      </c>
      <c r="M218" t="inlineStr">
        <is>
          <t>S01</t>
        </is>
      </c>
    </row>
    <row r="219">
      <c r="A219" t="inlineStr">
        <is>
          <t>2026-06-16</t>
        </is>
      </c>
      <c r="B219" t="inlineStr">
        <is>
          <t>PIG-B02</t>
        </is>
      </c>
      <c r="C219" t="inlineStr">
        <is>
          <t>Pen 1</t>
        </is>
      </c>
      <c r="D219" t="inlineStr">
        <is>
          <t>Pig finisher</t>
        </is>
      </c>
      <c r="E219" t="n">
        <v>63.2</v>
      </c>
      <c r="F219" t="n">
        <v>140.5</v>
      </c>
      <c r="G219" t="n">
        <v>0</v>
      </c>
      <c r="H219" t="n">
        <v>0</v>
      </c>
      <c r="I219">
        <f>IFERROR(INDEX(P1_PIG_BATCHES!$E:$E,MATCH(B219,P1_PIG_BATCHES!$A:$A,0))-G219-H219,0)</f>
        <v/>
      </c>
      <c r="J219" t="n">
        <v>26.3</v>
      </c>
      <c r="K219" t="inlineStr">
        <is>
          <t>Dry</t>
        </is>
      </c>
      <c r="M219" t="inlineStr">
        <is>
          <t>S01</t>
        </is>
      </c>
    </row>
    <row r="220">
      <c r="A220" t="inlineStr">
        <is>
          <t>2026-06-17</t>
        </is>
      </c>
      <c r="B220" t="inlineStr">
        <is>
          <t>PIG-B02</t>
        </is>
      </c>
      <c r="C220" t="inlineStr">
        <is>
          <t>Pen 1</t>
        </is>
      </c>
      <c r="D220" t="inlineStr">
        <is>
          <t>Pig finisher</t>
        </is>
      </c>
      <c r="E220" t="n">
        <v>61.3</v>
      </c>
      <c r="F220" t="n">
        <v>179</v>
      </c>
      <c r="G220" t="n">
        <v>0</v>
      </c>
      <c r="H220" t="n">
        <v>0</v>
      </c>
      <c r="I220">
        <f>IFERROR(INDEX(P1_PIG_BATCHES!$E:$E,MATCH(B220,P1_PIG_BATCHES!$A:$A,0))-G220-H220,0)</f>
        <v/>
      </c>
      <c r="J220" t="n">
        <v>21.2</v>
      </c>
      <c r="K220" t="inlineStr">
        <is>
          <t>Dry</t>
        </is>
      </c>
      <c r="M220" t="inlineStr">
        <is>
          <t>S01</t>
        </is>
      </c>
    </row>
    <row r="221">
      <c r="A221" t="inlineStr">
        <is>
          <t>2026-06-18</t>
        </is>
      </c>
      <c r="B221" t="inlineStr">
        <is>
          <t>PIG-B02</t>
        </is>
      </c>
      <c r="C221" t="inlineStr">
        <is>
          <t>Pen 1</t>
        </is>
      </c>
      <c r="D221" t="inlineStr">
        <is>
          <t>Pig finisher</t>
        </is>
      </c>
      <c r="E221" t="n">
        <v>52.7</v>
      </c>
      <c r="F221" t="n">
        <v>124.4</v>
      </c>
      <c r="G221" t="n">
        <v>0</v>
      </c>
      <c r="H221" t="n">
        <v>0</v>
      </c>
      <c r="I221">
        <f>IFERROR(INDEX(P1_PIG_BATCHES!$E:$E,MATCH(B221,P1_PIG_BATCHES!$A:$A,0))-G221-H221,0)</f>
        <v/>
      </c>
      <c r="J221" t="n">
        <v>24.2</v>
      </c>
      <c r="K221" t="inlineStr">
        <is>
          <t>Dry</t>
        </is>
      </c>
      <c r="M221" t="inlineStr">
        <is>
          <t>S01</t>
        </is>
      </c>
    </row>
    <row r="222">
      <c r="A222" t="inlineStr">
        <is>
          <t>2026-06-19</t>
        </is>
      </c>
      <c r="B222" t="inlineStr">
        <is>
          <t>PIG-B02</t>
        </is>
      </c>
      <c r="C222" t="inlineStr">
        <is>
          <t>Pen 1</t>
        </is>
      </c>
      <c r="D222" t="inlineStr">
        <is>
          <t>Pig finisher</t>
        </is>
      </c>
      <c r="E222" t="n">
        <v>54.8</v>
      </c>
      <c r="F222" t="n">
        <v>138.1</v>
      </c>
      <c r="G222" t="n">
        <v>0</v>
      </c>
      <c r="H222" t="n">
        <v>0</v>
      </c>
      <c r="I222">
        <f>IFERROR(INDEX(P1_PIG_BATCHES!$E:$E,MATCH(B222,P1_PIG_BATCHES!$A:$A,0))-G222-H222,0)</f>
        <v/>
      </c>
      <c r="J222" t="n">
        <v>23.1</v>
      </c>
      <c r="K222" t="inlineStr">
        <is>
          <t>Dry</t>
        </is>
      </c>
      <c r="M222" t="inlineStr">
        <is>
          <t>S01</t>
        </is>
      </c>
    </row>
    <row r="223">
      <c r="A223" t="inlineStr">
        <is>
          <t>2026-06-20</t>
        </is>
      </c>
      <c r="B223" t="inlineStr">
        <is>
          <t>PIG-B02</t>
        </is>
      </c>
      <c r="C223" t="inlineStr">
        <is>
          <t>Pen 1</t>
        </is>
      </c>
      <c r="D223" t="inlineStr">
        <is>
          <t>Pig finisher</t>
        </is>
      </c>
      <c r="E223" t="n">
        <v>59.4</v>
      </c>
      <c r="F223" t="n">
        <v>177.2</v>
      </c>
      <c r="G223" t="n">
        <v>0</v>
      </c>
      <c r="H223" t="n">
        <v>0</v>
      </c>
      <c r="I223">
        <f>IFERROR(INDEX(P1_PIG_BATCHES!$E:$E,MATCH(B223,P1_PIG_BATCHES!$A:$A,0))-G223-H223,0)</f>
        <v/>
      </c>
      <c r="J223" t="n">
        <v>22</v>
      </c>
      <c r="K223" t="inlineStr">
        <is>
          <t>Dry</t>
        </is>
      </c>
      <c r="M223" t="inlineStr">
        <is>
          <t>S01</t>
        </is>
      </c>
    </row>
    <row r="224">
      <c r="A224" t="inlineStr">
        <is>
          <t>2026-06-21</t>
        </is>
      </c>
      <c r="B224" t="inlineStr">
        <is>
          <t>PIG-B02</t>
        </is>
      </c>
      <c r="C224" t="inlineStr">
        <is>
          <t>Pen 1</t>
        </is>
      </c>
      <c r="D224" t="inlineStr">
        <is>
          <t>Pig finisher</t>
        </is>
      </c>
      <c r="E224" t="n">
        <v>63.9</v>
      </c>
      <c r="F224" t="n">
        <v>173.8</v>
      </c>
      <c r="G224" t="n">
        <v>0</v>
      </c>
      <c r="H224" t="n">
        <v>0</v>
      </c>
      <c r="I224">
        <f>IFERROR(INDEX(P1_PIG_BATCHES!$E:$E,MATCH(B224,P1_PIG_BATCHES!$A:$A,0))-G224-H224,0)</f>
        <v/>
      </c>
      <c r="J224" t="n">
        <v>26.6</v>
      </c>
      <c r="K224" t="inlineStr">
        <is>
          <t>Dry</t>
        </is>
      </c>
      <c r="M224" t="inlineStr">
        <is>
          <t>S01</t>
        </is>
      </c>
    </row>
    <row r="225">
      <c r="A225" t="inlineStr">
        <is>
          <t>2026-06-22</t>
        </is>
      </c>
      <c r="B225" t="inlineStr">
        <is>
          <t>PIG-B02</t>
        </is>
      </c>
      <c r="C225" t="inlineStr">
        <is>
          <t>Pen 1</t>
        </is>
      </c>
      <c r="D225" t="inlineStr">
        <is>
          <t>Pig finisher</t>
        </is>
      </c>
      <c r="E225" t="n">
        <v>53.6</v>
      </c>
      <c r="F225" t="n">
        <v>134.3</v>
      </c>
      <c r="G225" t="n">
        <v>0</v>
      </c>
      <c r="H225" t="n">
        <v>0</v>
      </c>
      <c r="I225">
        <f>IFERROR(INDEX(P1_PIG_BATCHES!$E:$E,MATCH(B225,P1_PIG_BATCHES!$A:$A,0))-G225-H225,0)</f>
        <v/>
      </c>
      <c r="J225" t="n">
        <v>24.4</v>
      </c>
      <c r="K225" t="inlineStr">
        <is>
          <t>Dry</t>
        </is>
      </c>
      <c r="M225" t="inlineStr">
        <is>
          <t>S01</t>
        </is>
      </c>
    </row>
    <row r="226">
      <c r="A226" t="inlineStr">
        <is>
          <t>2026-06-23</t>
        </is>
      </c>
      <c r="B226" t="inlineStr">
        <is>
          <t>PIG-B02</t>
        </is>
      </c>
      <c r="C226" t="inlineStr">
        <is>
          <t>Pen 1</t>
        </is>
      </c>
      <c r="D226" t="inlineStr">
        <is>
          <t>Pig finisher</t>
        </is>
      </c>
      <c r="E226" t="n">
        <v>52.4</v>
      </c>
      <c r="F226" t="n">
        <v>122.8</v>
      </c>
      <c r="G226" t="n">
        <v>0</v>
      </c>
      <c r="H226" t="n">
        <v>0</v>
      </c>
      <c r="I226">
        <f>IFERROR(INDEX(P1_PIG_BATCHES!$E:$E,MATCH(B226,P1_PIG_BATCHES!$A:$A,0))-G226-H226,0)</f>
        <v/>
      </c>
      <c r="J226" t="n">
        <v>24</v>
      </c>
      <c r="K226" t="inlineStr">
        <is>
          <t>Dry</t>
        </is>
      </c>
      <c r="M226" t="inlineStr">
        <is>
          <t>S01</t>
        </is>
      </c>
    </row>
    <row r="227">
      <c r="A227" t="inlineStr">
        <is>
          <t>2026-06-24</t>
        </is>
      </c>
      <c r="B227" t="inlineStr">
        <is>
          <t>PIG-B02</t>
        </is>
      </c>
      <c r="C227" t="inlineStr">
        <is>
          <t>Pen 1</t>
        </is>
      </c>
      <c r="D227" t="inlineStr">
        <is>
          <t>Pig finisher</t>
        </is>
      </c>
      <c r="E227" t="n">
        <v>63.5</v>
      </c>
      <c r="F227" t="n">
        <v>168.4</v>
      </c>
      <c r="G227" t="n">
        <v>0</v>
      </c>
      <c r="H227" t="n">
        <v>0</v>
      </c>
      <c r="I227">
        <f>IFERROR(INDEX(P1_PIG_BATCHES!$E:$E,MATCH(B227,P1_PIG_BATCHES!$A:$A,0))-G227-H227,0)</f>
        <v/>
      </c>
      <c r="J227" t="n">
        <v>26.6</v>
      </c>
      <c r="K227" t="inlineStr">
        <is>
          <t>Dry</t>
        </is>
      </c>
      <c r="M227" t="inlineStr">
        <is>
          <t>S01</t>
        </is>
      </c>
    </row>
    <row r="228">
      <c r="A228" t="inlineStr">
        <is>
          <t>2026-06-25</t>
        </is>
      </c>
      <c r="B228" t="inlineStr">
        <is>
          <t>PIG-B02</t>
        </is>
      </c>
      <c r="C228" t="inlineStr">
        <is>
          <t>Pen 1</t>
        </is>
      </c>
      <c r="D228" t="inlineStr">
        <is>
          <t>Pig finisher</t>
        </is>
      </c>
      <c r="E228" t="n">
        <v>59.8</v>
      </c>
      <c r="F228" t="n">
        <v>134.1</v>
      </c>
      <c r="G228" t="n">
        <v>0</v>
      </c>
      <c r="H228" t="n">
        <v>0</v>
      </c>
      <c r="I228">
        <f>IFERROR(INDEX(P1_PIG_BATCHES!$E:$E,MATCH(B228,P1_PIG_BATCHES!$A:$A,0))-G228-H228,0)</f>
        <v/>
      </c>
      <c r="J228" t="n">
        <v>21.9</v>
      </c>
      <c r="K228" t="inlineStr">
        <is>
          <t>Dry</t>
        </is>
      </c>
      <c r="M228" t="inlineStr">
        <is>
          <t>S01</t>
        </is>
      </c>
    </row>
    <row r="229">
      <c r="A229" t="inlineStr">
        <is>
          <t>2026-06-26</t>
        </is>
      </c>
      <c r="B229" t="inlineStr">
        <is>
          <t>PIG-B02</t>
        </is>
      </c>
      <c r="C229" t="inlineStr">
        <is>
          <t>Pen 1</t>
        </is>
      </c>
      <c r="D229" t="inlineStr">
        <is>
          <t>Pig finisher</t>
        </is>
      </c>
      <c r="E229" t="n">
        <v>64.90000000000001</v>
      </c>
      <c r="F229" t="n">
        <v>167.5</v>
      </c>
      <c r="G229" t="n">
        <v>0</v>
      </c>
      <c r="H229" t="n">
        <v>0</v>
      </c>
      <c r="I229">
        <f>IFERROR(INDEX(P1_PIG_BATCHES!$E:$E,MATCH(B229,P1_PIG_BATCHES!$A:$A,0))-G229-H229,0)</f>
        <v/>
      </c>
      <c r="J229" t="n">
        <v>20.7</v>
      </c>
      <c r="K229" t="inlineStr">
        <is>
          <t>Dry</t>
        </is>
      </c>
      <c r="M229" t="inlineStr">
        <is>
          <t>S01</t>
        </is>
      </c>
    </row>
    <row r="230">
      <c r="A230" t="inlineStr">
        <is>
          <t>2026-06-27</t>
        </is>
      </c>
      <c r="B230" t="inlineStr">
        <is>
          <t>PIG-B02</t>
        </is>
      </c>
      <c r="C230" t="inlineStr">
        <is>
          <t>Pen 1</t>
        </is>
      </c>
      <c r="D230" t="inlineStr">
        <is>
          <t>Pig finisher</t>
        </is>
      </c>
      <c r="E230" t="n">
        <v>65.5</v>
      </c>
      <c r="F230" t="n">
        <v>190.7</v>
      </c>
      <c r="G230" t="n">
        <v>0</v>
      </c>
      <c r="H230" t="n">
        <v>0</v>
      </c>
      <c r="I230">
        <f>IFERROR(INDEX(P1_PIG_BATCHES!$E:$E,MATCH(B230,P1_PIG_BATCHES!$A:$A,0))-G230-H230,0)</f>
        <v/>
      </c>
      <c r="J230" t="n">
        <v>24.5</v>
      </c>
      <c r="K230" t="inlineStr">
        <is>
          <t>Dry</t>
        </is>
      </c>
      <c r="M230" t="inlineStr">
        <is>
          <t>S01</t>
        </is>
      </c>
    </row>
    <row r="231">
      <c r="A231" t="inlineStr">
        <is>
          <t>2026-06-28</t>
        </is>
      </c>
      <c r="B231" t="inlineStr">
        <is>
          <t>PIG-B02</t>
        </is>
      </c>
      <c r="C231" t="inlineStr">
        <is>
          <t>Pen 1</t>
        </is>
      </c>
      <c r="D231" t="inlineStr">
        <is>
          <t>Pig finisher</t>
        </is>
      </c>
      <c r="E231" t="n">
        <v>65.5</v>
      </c>
      <c r="F231" t="n">
        <v>160.8</v>
      </c>
      <c r="G231" t="n">
        <v>0</v>
      </c>
      <c r="H231" t="n">
        <v>0</v>
      </c>
      <c r="I231">
        <f>IFERROR(INDEX(P1_PIG_BATCHES!$E:$E,MATCH(B231,P1_PIG_BATCHES!$A:$A,0))-G231-H231,0)</f>
        <v/>
      </c>
      <c r="J231" t="n">
        <v>27.3</v>
      </c>
      <c r="K231" t="inlineStr">
        <is>
          <t>Dry</t>
        </is>
      </c>
      <c r="M231" t="inlineStr">
        <is>
          <t>S01</t>
        </is>
      </c>
    </row>
    <row r="232">
      <c r="A232" t="inlineStr">
        <is>
          <t>2026-06-29</t>
        </is>
      </c>
      <c r="B232" t="inlineStr">
        <is>
          <t>PIG-B02</t>
        </is>
      </c>
      <c r="C232" t="inlineStr">
        <is>
          <t>Pen 1</t>
        </is>
      </c>
      <c r="D232" t="inlineStr">
        <is>
          <t>Pig finisher</t>
        </is>
      </c>
      <c r="E232" t="n">
        <v>63</v>
      </c>
      <c r="F232" t="n">
        <v>174.3</v>
      </c>
      <c r="G232" t="n">
        <v>0</v>
      </c>
      <c r="H232" t="n">
        <v>0</v>
      </c>
      <c r="I232">
        <f>IFERROR(INDEX(P1_PIG_BATCHES!$E:$E,MATCH(B232,P1_PIG_BATCHES!$A:$A,0))-G232-H232,0)</f>
        <v/>
      </c>
      <c r="J232" t="n">
        <v>23.3</v>
      </c>
      <c r="K232" t="inlineStr">
        <is>
          <t>Dry</t>
        </is>
      </c>
      <c r="M232" t="inlineStr">
        <is>
          <t>S01</t>
        </is>
      </c>
    </row>
    <row r="233">
      <c r="A233" t="inlineStr">
        <is>
          <t>2026-06-30</t>
        </is>
      </c>
      <c r="B233" t="inlineStr">
        <is>
          <t>PIG-B02</t>
        </is>
      </c>
      <c r="C233" t="inlineStr">
        <is>
          <t>Pen 1</t>
        </is>
      </c>
      <c r="D233" t="inlineStr">
        <is>
          <t>Pig finisher</t>
        </is>
      </c>
      <c r="E233" t="n">
        <v>54.6</v>
      </c>
      <c r="F233" t="n">
        <v>130.9</v>
      </c>
      <c r="G233" t="n">
        <v>0</v>
      </c>
      <c r="H233" t="n">
        <v>0</v>
      </c>
      <c r="I233">
        <f>IFERROR(INDEX(P1_PIG_BATCHES!$E:$E,MATCH(B233,P1_PIG_BATCHES!$A:$A,0))-G233-H233,0)</f>
        <v/>
      </c>
      <c r="J233" t="n">
        <v>26.4</v>
      </c>
      <c r="K233" t="inlineStr">
        <is>
          <t>Dry</t>
        </is>
      </c>
      <c r="M233" t="inlineStr">
        <is>
          <t>S01</t>
        </is>
      </c>
    </row>
    <row r="234">
      <c r="A234" t="inlineStr">
        <is>
          <t>2026-07-01</t>
        </is>
      </c>
      <c r="B234" t="inlineStr">
        <is>
          <t>PIG-B02</t>
        </is>
      </c>
      <c r="C234" t="inlineStr">
        <is>
          <t>Pen 1</t>
        </is>
      </c>
      <c r="D234" t="inlineStr">
        <is>
          <t>Pig finisher</t>
        </is>
      </c>
      <c r="E234" t="n">
        <v>65.09999999999999</v>
      </c>
      <c r="F234" t="n">
        <v>160.7</v>
      </c>
      <c r="G234" t="n">
        <v>0</v>
      </c>
      <c r="H234" t="n">
        <v>0</v>
      </c>
      <c r="I234">
        <f>IFERROR(INDEX(P1_PIG_BATCHES!$E:$E,MATCH(B234,P1_PIG_BATCHES!$A:$A,0))-G234-H234,0)</f>
        <v/>
      </c>
      <c r="J234" t="n">
        <v>25.8</v>
      </c>
      <c r="K234" t="inlineStr">
        <is>
          <t>Dry</t>
        </is>
      </c>
      <c r="M234" t="inlineStr">
        <is>
          <t>S01</t>
        </is>
      </c>
    </row>
    <row r="235">
      <c r="A235" t="inlineStr">
        <is>
          <t>2026-07-02</t>
        </is>
      </c>
      <c r="B235" t="inlineStr">
        <is>
          <t>PIG-B02</t>
        </is>
      </c>
      <c r="C235" t="inlineStr">
        <is>
          <t>Pen 1</t>
        </is>
      </c>
      <c r="D235" t="inlineStr">
        <is>
          <t>Pig finisher</t>
        </is>
      </c>
      <c r="E235" t="n">
        <v>66.40000000000001</v>
      </c>
      <c r="F235" t="n">
        <v>184.2</v>
      </c>
      <c r="G235" t="n">
        <v>0</v>
      </c>
      <c r="H235" t="n">
        <v>0</v>
      </c>
      <c r="I235">
        <f>IFERROR(INDEX(P1_PIG_BATCHES!$E:$E,MATCH(B235,P1_PIG_BATCHES!$A:$A,0))-G235-H235,0)</f>
        <v/>
      </c>
      <c r="J235" t="n">
        <v>24</v>
      </c>
      <c r="K235" t="inlineStr">
        <is>
          <t>Dry</t>
        </is>
      </c>
      <c r="M235" t="inlineStr">
        <is>
          <t>S01</t>
        </is>
      </c>
    </row>
    <row r="236">
      <c r="A236" t="inlineStr">
        <is>
          <t>2026-07-03</t>
        </is>
      </c>
      <c r="B236" t="inlineStr">
        <is>
          <t>PIG-B02</t>
        </is>
      </c>
      <c r="C236" t="inlineStr">
        <is>
          <t>Pen 1</t>
        </is>
      </c>
      <c r="D236" t="inlineStr">
        <is>
          <t>Pig finisher</t>
        </is>
      </c>
      <c r="E236" t="n">
        <v>53</v>
      </c>
      <c r="F236" t="n">
        <v>135.2</v>
      </c>
      <c r="G236" t="n">
        <v>0</v>
      </c>
      <c r="H236" t="n">
        <v>0</v>
      </c>
      <c r="I236">
        <f>IFERROR(INDEX(P1_PIG_BATCHES!$E:$E,MATCH(B236,P1_PIG_BATCHES!$A:$A,0))-G236-H236,0)</f>
        <v/>
      </c>
      <c r="J236" t="n">
        <v>26.4</v>
      </c>
      <c r="K236" t="inlineStr">
        <is>
          <t>Dry</t>
        </is>
      </c>
      <c r="M236" t="inlineStr">
        <is>
          <t>S01</t>
        </is>
      </c>
    </row>
    <row r="237">
      <c r="A237" t="inlineStr">
        <is>
          <t>2026-07-04</t>
        </is>
      </c>
      <c r="B237" t="inlineStr">
        <is>
          <t>PIG-B02</t>
        </is>
      </c>
      <c r="C237" t="inlineStr">
        <is>
          <t>Pen 1</t>
        </is>
      </c>
      <c r="D237" t="inlineStr">
        <is>
          <t>Pig finisher</t>
        </is>
      </c>
      <c r="E237" t="n">
        <v>63.2</v>
      </c>
      <c r="F237" t="n">
        <v>186.7</v>
      </c>
      <c r="G237" t="n">
        <v>0</v>
      </c>
      <c r="H237" t="n">
        <v>0</v>
      </c>
      <c r="I237">
        <f>IFERROR(INDEX(P1_PIG_BATCHES!$E:$E,MATCH(B237,P1_PIG_BATCHES!$A:$A,0))-G237-H237,0)</f>
        <v/>
      </c>
      <c r="J237" t="n">
        <v>23.3</v>
      </c>
      <c r="K237" t="inlineStr">
        <is>
          <t>Dry</t>
        </is>
      </c>
      <c r="M237" t="inlineStr">
        <is>
          <t>S01</t>
        </is>
      </c>
    </row>
    <row r="238">
      <c r="A238" t="inlineStr">
        <is>
          <t>2026-07-05</t>
        </is>
      </c>
      <c r="B238" t="inlineStr">
        <is>
          <t>PIG-B02</t>
        </is>
      </c>
      <c r="C238" t="inlineStr">
        <is>
          <t>Pen 1</t>
        </is>
      </c>
      <c r="D238" t="inlineStr">
        <is>
          <t>Pig finisher</t>
        </is>
      </c>
      <c r="E238" t="n">
        <v>52.7</v>
      </c>
      <c r="F238" t="n">
        <v>127.7</v>
      </c>
      <c r="G238" t="n">
        <v>0</v>
      </c>
      <c r="H238" t="n">
        <v>0</v>
      </c>
      <c r="I238">
        <f>IFERROR(INDEX(P1_PIG_BATCHES!$E:$E,MATCH(B238,P1_PIG_BATCHES!$A:$A,0))-G238-H238,0)</f>
        <v/>
      </c>
      <c r="J238" t="n">
        <v>27.5</v>
      </c>
      <c r="K238" t="inlineStr">
        <is>
          <t>Dry</t>
        </is>
      </c>
      <c r="M238" t="inlineStr">
        <is>
          <t>S01</t>
        </is>
      </c>
    </row>
    <row r="239">
      <c r="A239" t="inlineStr">
        <is>
          <t>2026-07-06</t>
        </is>
      </c>
      <c r="B239" t="inlineStr">
        <is>
          <t>PIG-B02</t>
        </is>
      </c>
      <c r="C239" t="inlineStr">
        <is>
          <t>Pen 1</t>
        </is>
      </c>
      <c r="D239" t="inlineStr">
        <is>
          <t>Pig finisher</t>
        </is>
      </c>
      <c r="E239" t="n">
        <v>57.3</v>
      </c>
      <c r="F239" t="n">
        <v>168.7</v>
      </c>
      <c r="G239" t="n">
        <v>0</v>
      </c>
      <c r="H239" t="n">
        <v>0</v>
      </c>
      <c r="I239">
        <f>IFERROR(INDEX(P1_PIG_BATCHES!$E:$E,MATCH(B239,P1_PIG_BATCHES!$A:$A,0))-G239-H239,0)</f>
        <v/>
      </c>
      <c r="J239" t="n">
        <v>23.5</v>
      </c>
      <c r="K239" t="inlineStr">
        <is>
          <t>Dry</t>
        </is>
      </c>
      <c r="M239" t="inlineStr">
        <is>
          <t>S01</t>
        </is>
      </c>
    </row>
    <row r="240">
      <c r="A240" t="inlineStr">
        <is>
          <t>2026-07-07</t>
        </is>
      </c>
      <c r="B240" t="inlineStr">
        <is>
          <t>PIG-B02</t>
        </is>
      </c>
      <c r="C240" t="inlineStr">
        <is>
          <t>Pen 1</t>
        </is>
      </c>
      <c r="D240" t="inlineStr">
        <is>
          <t>Pig finisher</t>
        </is>
      </c>
      <c r="E240" t="n">
        <v>61.7</v>
      </c>
      <c r="F240" t="n">
        <v>140.5</v>
      </c>
      <c r="G240" t="n">
        <v>0</v>
      </c>
      <c r="H240" t="n">
        <v>0</v>
      </c>
      <c r="I240">
        <f>IFERROR(INDEX(P1_PIG_BATCHES!$E:$E,MATCH(B240,P1_PIG_BATCHES!$A:$A,0))-G240-H240,0)</f>
        <v/>
      </c>
      <c r="J240" t="n">
        <v>24.9</v>
      </c>
      <c r="K240" t="inlineStr">
        <is>
          <t>Dry</t>
        </is>
      </c>
      <c r="M240" t="inlineStr">
        <is>
          <t>S01</t>
        </is>
      </c>
    </row>
    <row r="241">
      <c r="A241" t="inlineStr">
        <is>
          <t>2026-07-08</t>
        </is>
      </c>
      <c r="B241" t="inlineStr">
        <is>
          <t>PIG-B02</t>
        </is>
      </c>
      <c r="C241" t="inlineStr">
        <is>
          <t>Pen 1</t>
        </is>
      </c>
      <c r="D241" t="inlineStr">
        <is>
          <t>Pig finisher</t>
        </is>
      </c>
      <c r="E241" t="n">
        <v>62.4</v>
      </c>
      <c r="F241" t="n">
        <v>141.9</v>
      </c>
      <c r="G241" t="n">
        <v>0</v>
      </c>
      <c r="H241" t="n">
        <v>0</v>
      </c>
      <c r="I241">
        <f>IFERROR(INDEX(P1_PIG_BATCHES!$E:$E,MATCH(B241,P1_PIG_BATCHES!$A:$A,0))-G241-H241,0)</f>
        <v/>
      </c>
      <c r="J241" t="n">
        <v>21.5</v>
      </c>
      <c r="K241" t="inlineStr">
        <is>
          <t>Dry</t>
        </is>
      </c>
      <c r="M241" t="inlineStr">
        <is>
          <t>S01</t>
        </is>
      </c>
    </row>
    <row r="242">
      <c r="A242" t="inlineStr">
        <is>
          <t>2026-07-09</t>
        </is>
      </c>
      <c r="B242" t="inlineStr">
        <is>
          <t>PIG-B02</t>
        </is>
      </c>
      <c r="C242" t="inlineStr">
        <is>
          <t>Pen 1</t>
        </is>
      </c>
      <c r="D242" t="inlineStr">
        <is>
          <t>Pig finisher</t>
        </is>
      </c>
      <c r="E242" t="n">
        <v>61.3</v>
      </c>
      <c r="F242" t="n">
        <v>170.8</v>
      </c>
      <c r="G242" t="n">
        <v>0</v>
      </c>
      <c r="H242" t="n">
        <v>0</v>
      </c>
      <c r="I242">
        <f>IFERROR(INDEX(P1_PIG_BATCHES!$E:$E,MATCH(B242,P1_PIG_BATCHES!$A:$A,0))-G242-H242,0)</f>
        <v/>
      </c>
      <c r="J242" t="n">
        <v>22.7</v>
      </c>
      <c r="K242" t="inlineStr">
        <is>
          <t>Dry</t>
        </is>
      </c>
      <c r="M242" t="inlineStr">
        <is>
          <t>S01</t>
        </is>
      </c>
    </row>
    <row r="243">
      <c r="A243" t="inlineStr">
        <is>
          <t>2026-07-10</t>
        </is>
      </c>
      <c r="B243" t="inlineStr">
        <is>
          <t>PIG-B02</t>
        </is>
      </c>
      <c r="C243" t="inlineStr">
        <is>
          <t>Pen 1</t>
        </is>
      </c>
      <c r="D243" t="inlineStr">
        <is>
          <t>Pig finisher</t>
        </is>
      </c>
      <c r="E243" t="n">
        <v>52.3</v>
      </c>
      <c r="F243" t="n">
        <v>128.2</v>
      </c>
      <c r="G243" t="n">
        <v>0</v>
      </c>
      <c r="H243" t="n">
        <v>0</v>
      </c>
      <c r="I243">
        <f>IFERROR(INDEX(P1_PIG_BATCHES!$E:$E,MATCH(B243,P1_PIG_BATCHES!$A:$A,0))-G243-H243,0)</f>
        <v/>
      </c>
      <c r="J243" t="n">
        <v>23</v>
      </c>
      <c r="K243" t="inlineStr">
        <is>
          <t>Dry</t>
        </is>
      </c>
      <c r="M243" t="inlineStr">
        <is>
          <t>S01</t>
        </is>
      </c>
    </row>
    <row r="244">
      <c r="A244" t="inlineStr">
        <is>
          <t>2026-07-11</t>
        </is>
      </c>
      <c r="B244" t="inlineStr">
        <is>
          <t>PIG-B02</t>
        </is>
      </c>
      <c r="C244" t="inlineStr">
        <is>
          <t>Pen 1</t>
        </is>
      </c>
      <c r="D244" t="inlineStr">
        <is>
          <t>Pig finisher</t>
        </is>
      </c>
      <c r="E244" t="n">
        <v>54.2</v>
      </c>
      <c r="F244" t="n">
        <v>127.7</v>
      </c>
      <c r="G244" t="n">
        <v>0</v>
      </c>
      <c r="H244" t="n">
        <v>0</v>
      </c>
      <c r="I244">
        <f>IFERROR(INDEX(P1_PIG_BATCHES!$E:$E,MATCH(B244,P1_PIG_BATCHES!$A:$A,0))-G244-H244,0)</f>
        <v/>
      </c>
      <c r="J244" t="n">
        <v>23.6</v>
      </c>
      <c r="K244" t="inlineStr">
        <is>
          <t>Dry</t>
        </is>
      </c>
      <c r="M244" t="inlineStr">
        <is>
          <t>S01</t>
        </is>
      </c>
    </row>
    <row r="245">
      <c r="A245" t="inlineStr">
        <is>
          <t>2026-07-12</t>
        </is>
      </c>
      <c r="B245" t="inlineStr">
        <is>
          <t>PIG-B02</t>
        </is>
      </c>
      <c r="C245" t="inlineStr">
        <is>
          <t>Pen 1</t>
        </is>
      </c>
      <c r="D245" t="inlineStr">
        <is>
          <t>Pig finisher</t>
        </is>
      </c>
      <c r="E245" t="n">
        <v>58.1</v>
      </c>
      <c r="F245" t="n">
        <v>129.6</v>
      </c>
      <c r="G245" t="n">
        <v>0</v>
      </c>
      <c r="H245" t="n">
        <v>0</v>
      </c>
      <c r="I245">
        <f>IFERROR(INDEX(P1_PIG_BATCHES!$E:$E,MATCH(B245,P1_PIG_BATCHES!$A:$A,0))-G245-H245,0)</f>
        <v/>
      </c>
      <c r="J245" t="n">
        <v>22.9</v>
      </c>
      <c r="K245" t="inlineStr">
        <is>
          <t>Dry</t>
        </is>
      </c>
      <c r="M245" t="inlineStr">
        <is>
          <t>S01</t>
        </is>
      </c>
    </row>
    <row r="246">
      <c r="A246" t="inlineStr">
        <is>
          <t>2026-07-13</t>
        </is>
      </c>
      <c r="B246" t="inlineStr">
        <is>
          <t>PIG-B02</t>
        </is>
      </c>
      <c r="C246" t="inlineStr">
        <is>
          <t>Pen 1</t>
        </is>
      </c>
      <c r="D246" t="inlineStr">
        <is>
          <t>Pig finisher</t>
        </is>
      </c>
      <c r="E246" t="n">
        <v>60.8</v>
      </c>
      <c r="F246" t="n">
        <v>149.8</v>
      </c>
      <c r="G246" t="n">
        <v>0</v>
      </c>
      <c r="H246" t="n">
        <v>0</v>
      </c>
      <c r="I246">
        <f>IFERROR(INDEX(P1_PIG_BATCHES!$E:$E,MATCH(B246,P1_PIG_BATCHES!$A:$A,0))-G246-H246,0)</f>
        <v/>
      </c>
      <c r="J246" t="n">
        <v>23.2</v>
      </c>
      <c r="K246" t="inlineStr">
        <is>
          <t>Dry</t>
        </is>
      </c>
      <c r="M246" t="inlineStr">
        <is>
          <t>S01</t>
        </is>
      </c>
    </row>
    <row r="247">
      <c r="A247" t="inlineStr">
        <is>
          <t>2026-07-14</t>
        </is>
      </c>
      <c r="B247" t="inlineStr">
        <is>
          <t>PIG-B02</t>
        </is>
      </c>
      <c r="C247" t="inlineStr">
        <is>
          <t>Pen 1</t>
        </is>
      </c>
      <c r="D247" t="inlineStr">
        <is>
          <t>Pig finisher</t>
        </is>
      </c>
      <c r="E247" t="n">
        <v>57.8</v>
      </c>
      <c r="F247" t="n">
        <v>131.6</v>
      </c>
      <c r="G247" t="n">
        <v>0</v>
      </c>
      <c r="H247" t="n">
        <v>0</v>
      </c>
      <c r="I247">
        <f>IFERROR(INDEX(P1_PIG_BATCHES!$E:$E,MATCH(B247,P1_PIG_BATCHES!$A:$A,0))-G247-H247,0)</f>
        <v/>
      </c>
      <c r="J247" t="n">
        <v>26.9</v>
      </c>
      <c r="K247" t="inlineStr">
        <is>
          <t>Dry</t>
        </is>
      </c>
      <c r="M247" t="inlineStr">
        <is>
          <t>S01</t>
        </is>
      </c>
    </row>
    <row r="248">
      <c r="A248" t="inlineStr">
        <is>
          <t>2026-07-15</t>
        </is>
      </c>
      <c r="B248" t="inlineStr">
        <is>
          <t>PIG-B02</t>
        </is>
      </c>
      <c r="C248" t="inlineStr">
        <is>
          <t>Pen 1</t>
        </is>
      </c>
      <c r="D248" t="inlineStr">
        <is>
          <t>Pig finisher</t>
        </is>
      </c>
      <c r="E248" t="n">
        <v>66.2</v>
      </c>
      <c r="F248" t="n">
        <v>175.8</v>
      </c>
      <c r="G248" t="n">
        <v>0</v>
      </c>
      <c r="H248" t="n">
        <v>0</v>
      </c>
      <c r="I248">
        <f>IFERROR(INDEX(P1_PIG_BATCHES!$E:$E,MATCH(B248,P1_PIG_BATCHES!$A:$A,0))-G248-H248,0)</f>
        <v/>
      </c>
      <c r="J248" t="n">
        <v>21.6</v>
      </c>
      <c r="K248" t="inlineStr">
        <is>
          <t>Dry</t>
        </is>
      </c>
      <c r="M248" t="inlineStr">
        <is>
          <t>S01</t>
        </is>
      </c>
    </row>
    <row r="249">
      <c r="A249" t="inlineStr">
        <is>
          <t>2026-07-16</t>
        </is>
      </c>
      <c r="B249" t="inlineStr">
        <is>
          <t>PIG-B02</t>
        </is>
      </c>
      <c r="C249" t="inlineStr">
        <is>
          <t>Pen 1</t>
        </is>
      </c>
      <c r="D249" t="inlineStr">
        <is>
          <t>Pig finisher</t>
        </is>
      </c>
      <c r="E249" t="n">
        <v>54.3</v>
      </c>
      <c r="F249" t="n">
        <v>132.8</v>
      </c>
      <c r="G249" t="n">
        <v>0</v>
      </c>
      <c r="H249" t="n">
        <v>0</v>
      </c>
      <c r="I249">
        <f>IFERROR(INDEX(P1_PIG_BATCHES!$E:$E,MATCH(B249,P1_PIG_BATCHES!$A:$A,0))-G249-H249,0)</f>
        <v/>
      </c>
      <c r="J249" t="n">
        <v>24</v>
      </c>
      <c r="K249" t="inlineStr">
        <is>
          <t>Dry</t>
        </is>
      </c>
      <c r="M249" t="inlineStr">
        <is>
          <t>S01</t>
        </is>
      </c>
    </row>
    <row r="250">
      <c r="A250" t="inlineStr">
        <is>
          <t>2026-07-17</t>
        </is>
      </c>
      <c r="B250" t="inlineStr">
        <is>
          <t>PIG-B02</t>
        </is>
      </c>
      <c r="C250" t="inlineStr">
        <is>
          <t>Pen 1</t>
        </is>
      </c>
      <c r="D250" t="inlineStr">
        <is>
          <t>Pig finisher</t>
        </is>
      </c>
      <c r="E250" t="n">
        <v>58.5</v>
      </c>
      <c r="F250" t="n">
        <v>148.5</v>
      </c>
      <c r="G250" t="n">
        <v>0</v>
      </c>
      <c r="H250" t="n">
        <v>0</v>
      </c>
      <c r="I250">
        <f>IFERROR(INDEX(P1_PIG_BATCHES!$E:$E,MATCH(B250,P1_PIG_BATCHES!$A:$A,0))-G250-H250,0)</f>
        <v/>
      </c>
      <c r="J250" t="n">
        <v>23.9</v>
      </c>
      <c r="K250" t="inlineStr">
        <is>
          <t>Dry</t>
        </is>
      </c>
      <c r="M250" t="inlineStr">
        <is>
          <t>S01</t>
        </is>
      </c>
    </row>
    <row r="251">
      <c r="A251" t="inlineStr">
        <is>
          <t>2026-07-18</t>
        </is>
      </c>
      <c r="B251" t="inlineStr">
        <is>
          <t>PIG-B02</t>
        </is>
      </c>
      <c r="C251" t="inlineStr">
        <is>
          <t>Pen 1</t>
        </is>
      </c>
      <c r="D251" t="inlineStr">
        <is>
          <t>Pig finisher</t>
        </is>
      </c>
      <c r="E251" t="n">
        <v>55.9</v>
      </c>
      <c r="F251" t="n">
        <v>134.3</v>
      </c>
      <c r="G251" t="n">
        <v>0</v>
      </c>
      <c r="H251" t="n">
        <v>0</v>
      </c>
      <c r="I251">
        <f>IFERROR(INDEX(P1_PIG_BATCHES!$E:$E,MATCH(B251,P1_PIG_BATCHES!$A:$A,0))-G251-H251,0)</f>
        <v/>
      </c>
      <c r="J251" t="n">
        <v>24.9</v>
      </c>
      <c r="K251" t="inlineStr">
        <is>
          <t>Dry</t>
        </is>
      </c>
      <c r="M251" t="inlineStr">
        <is>
          <t>S01</t>
        </is>
      </c>
    </row>
    <row r="252">
      <c r="A252" t="inlineStr">
        <is>
          <t>2026-07-19</t>
        </is>
      </c>
      <c r="B252" t="inlineStr">
        <is>
          <t>PIG-B02</t>
        </is>
      </c>
      <c r="C252" t="inlineStr">
        <is>
          <t>Pen 1</t>
        </is>
      </c>
      <c r="D252" t="inlineStr">
        <is>
          <t>Pig finisher</t>
        </is>
      </c>
      <c r="E252" t="n">
        <v>55.1</v>
      </c>
      <c r="F252" t="n">
        <v>126.4</v>
      </c>
      <c r="G252" t="n">
        <v>0</v>
      </c>
      <c r="H252" t="n">
        <v>0</v>
      </c>
      <c r="I252">
        <f>IFERROR(INDEX(P1_PIG_BATCHES!$E:$E,MATCH(B252,P1_PIG_BATCHES!$A:$A,0))-G252-H252,0)</f>
        <v/>
      </c>
      <c r="J252" t="n">
        <v>22.6</v>
      </c>
      <c r="K252" t="inlineStr">
        <is>
          <t>Dry</t>
        </is>
      </c>
      <c r="M252" t="inlineStr">
        <is>
          <t>S01</t>
        </is>
      </c>
    </row>
    <row r="253">
      <c r="A253" t="inlineStr">
        <is>
          <t>2026-07-20</t>
        </is>
      </c>
      <c r="B253" t="inlineStr">
        <is>
          <t>PIG-B02</t>
        </is>
      </c>
      <c r="C253" t="inlineStr">
        <is>
          <t>Pen 1</t>
        </is>
      </c>
      <c r="D253" t="inlineStr">
        <is>
          <t>Pig finisher</t>
        </is>
      </c>
      <c r="E253" t="n">
        <v>57</v>
      </c>
      <c r="F253" t="n">
        <v>153.5</v>
      </c>
      <c r="G253" t="n">
        <v>0</v>
      </c>
      <c r="H253" t="n">
        <v>0</v>
      </c>
      <c r="I253">
        <f>IFERROR(INDEX(P1_PIG_BATCHES!$E:$E,MATCH(B253,P1_PIG_BATCHES!$A:$A,0))-G253-H253,0)</f>
        <v/>
      </c>
      <c r="J253" t="n">
        <v>26.2</v>
      </c>
      <c r="K253" t="inlineStr">
        <is>
          <t>Dry</t>
        </is>
      </c>
      <c r="M253" t="inlineStr">
        <is>
          <t>S01</t>
        </is>
      </c>
    </row>
    <row r="254">
      <c r="A254" t="inlineStr">
        <is>
          <t>2026-07-21</t>
        </is>
      </c>
      <c r="B254" t="inlineStr">
        <is>
          <t>PIG-B02</t>
        </is>
      </c>
      <c r="C254" t="inlineStr">
        <is>
          <t>Pen 1</t>
        </is>
      </c>
      <c r="D254" t="inlineStr">
        <is>
          <t>Pig finisher</t>
        </is>
      </c>
      <c r="E254" t="n">
        <v>57</v>
      </c>
      <c r="F254" t="n">
        <v>162.2</v>
      </c>
      <c r="G254" t="n">
        <v>0</v>
      </c>
      <c r="H254" t="n">
        <v>0</v>
      </c>
      <c r="I254">
        <f>IFERROR(INDEX(P1_PIG_BATCHES!$E:$E,MATCH(B254,P1_PIG_BATCHES!$A:$A,0))-G254-H254,0)</f>
        <v/>
      </c>
      <c r="J254" t="n">
        <v>26.6</v>
      </c>
      <c r="K254" t="inlineStr">
        <is>
          <t>Dry</t>
        </is>
      </c>
      <c r="M254" t="inlineStr">
        <is>
          <t>S01</t>
        </is>
      </c>
    </row>
    <row r="255">
      <c r="A255" t="inlineStr">
        <is>
          <t>2026-07-22</t>
        </is>
      </c>
      <c r="B255" t="inlineStr">
        <is>
          <t>PIG-B02</t>
        </is>
      </c>
      <c r="C255" t="inlineStr">
        <is>
          <t>Pen 1</t>
        </is>
      </c>
      <c r="D255" t="inlineStr">
        <is>
          <t>Pig finisher</t>
        </is>
      </c>
      <c r="E255" t="n">
        <v>54.2</v>
      </c>
      <c r="F255" t="n">
        <v>133.3</v>
      </c>
      <c r="G255" t="n">
        <v>0</v>
      </c>
      <c r="H255" t="n">
        <v>0</v>
      </c>
      <c r="I255">
        <f>IFERROR(INDEX(P1_PIG_BATCHES!$E:$E,MATCH(B255,P1_PIG_BATCHES!$A:$A,0))-G255-H255,0)</f>
        <v/>
      </c>
      <c r="J255" t="n">
        <v>27.2</v>
      </c>
      <c r="K255" t="inlineStr">
        <is>
          <t>Dry</t>
        </is>
      </c>
      <c r="M255" t="inlineStr">
        <is>
          <t>S01</t>
        </is>
      </c>
    </row>
    <row r="256">
      <c r="A256" t="inlineStr">
        <is>
          <t>2026-07-23</t>
        </is>
      </c>
      <c r="B256" t="inlineStr">
        <is>
          <t>PIG-B02</t>
        </is>
      </c>
      <c r="C256" t="inlineStr">
        <is>
          <t>Pen 1</t>
        </is>
      </c>
      <c r="D256" t="inlineStr">
        <is>
          <t>Pig finisher</t>
        </is>
      </c>
      <c r="E256" t="n">
        <v>56.8</v>
      </c>
      <c r="F256" t="n">
        <v>168.3</v>
      </c>
      <c r="G256" t="n">
        <v>0</v>
      </c>
      <c r="H256" t="n">
        <v>0</v>
      </c>
      <c r="I256">
        <f>IFERROR(INDEX(P1_PIG_BATCHES!$E:$E,MATCH(B256,P1_PIG_BATCHES!$A:$A,0))-G256-H256,0)</f>
        <v/>
      </c>
      <c r="J256" t="n">
        <v>27.4</v>
      </c>
      <c r="K256" t="inlineStr">
        <is>
          <t>Dry</t>
        </is>
      </c>
      <c r="M256" t="inlineStr">
        <is>
          <t>S01</t>
        </is>
      </c>
    </row>
    <row r="257">
      <c r="A257" t="inlineStr">
        <is>
          <t>2026-07-24</t>
        </is>
      </c>
      <c r="B257" t="inlineStr">
        <is>
          <t>PIG-B02</t>
        </is>
      </c>
      <c r="C257" t="inlineStr">
        <is>
          <t>Pen 1</t>
        </is>
      </c>
      <c r="D257" t="inlineStr">
        <is>
          <t>Pig finisher</t>
        </is>
      </c>
      <c r="E257" t="n">
        <v>62.2</v>
      </c>
      <c r="F257" t="n">
        <v>161.3</v>
      </c>
      <c r="G257" t="n">
        <v>0</v>
      </c>
      <c r="H257" t="n">
        <v>0</v>
      </c>
      <c r="I257">
        <f>IFERROR(INDEX(P1_PIG_BATCHES!$E:$E,MATCH(B257,P1_PIG_BATCHES!$A:$A,0))-G257-H257,0)</f>
        <v/>
      </c>
      <c r="J257" t="n">
        <v>24.5</v>
      </c>
      <c r="K257" t="inlineStr">
        <is>
          <t>Dry</t>
        </is>
      </c>
      <c r="M257" t="inlineStr">
        <is>
          <t>S01</t>
        </is>
      </c>
    </row>
    <row r="258">
      <c r="A258" t="inlineStr">
        <is>
          <t>2026-07-25</t>
        </is>
      </c>
      <c r="B258" t="inlineStr">
        <is>
          <t>PIG-B02</t>
        </is>
      </c>
      <c r="C258" t="inlineStr">
        <is>
          <t>Pen 1</t>
        </is>
      </c>
      <c r="D258" t="inlineStr">
        <is>
          <t>Pig finisher</t>
        </is>
      </c>
      <c r="E258" t="n">
        <v>57.6</v>
      </c>
      <c r="F258" t="n">
        <v>164</v>
      </c>
      <c r="G258" t="n">
        <v>0</v>
      </c>
      <c r="H258" t="n">
        <v>0</v>
      </c>
      <c r="I258">
        <f>IFERROR(INDEX(P1_PIG_BATCHES!$E:$E,MATCH(B258,P1_PIG_BATCHES!$A:$A,0))-G258-H258,0)</f>
        <v/>
      </c>
      <c r="J258" t="n">
        <v>23.2</v>
      </c>
      <c r="K258" t="inlineStr">
        <is>
          <t>Dry</t>
        </is>
      </c>
      <c r="M258" t="inlineStr">
        <is>
          <t>S01</t>
        </is>
      </c>
    </row>
    <row r="259">
      <c r="A259" t="inlineStr">
        <is>
          <t>2026-07-26</t>
        </is>
      </c>
      <c r="B259" t="inlineStr">
        <is>
          <t>PIG-B02</t>
        </is>
      </c>
      <c r="C259" t="inlineStr">
        <is>
          <t>Pen 1</t>
        </is>
      </c>
      <c r="D259" t="inlineStr">
        <is>
          <t>Pig finisher</t>
        </is>
      </c>
      <c r="E259" t="n">
        <v>60.3</v>
      </c>
      <c r="F259" t="n">
        <v>161.1</v>
      </c>
      <c r="G259" t="n">
        <v>0</v>
      </c>
      <c r="H259" t="n">
        <v>0</v>
      </c>
      <c r="I259">
        <f>IFERROR(INDEX(P1_PIG_BATCHES!$E:$E,MATCH(B259,P1_PIG_BATCHES!$A:$A,0))-G259-H259,0)</f>
        <v/>
      </c>
      <c r="J259" t="n">
        <v>24.3</v>
      </c>
      <c r="K259" t="inlineStr">
        <is>
          <t>Dry</t>
        </is>
      </c>
      <c r="M259" t="inlineStr">
        <is>
          <t>S01</t>
        </is>
      </c>
    </row>
    <row r="260">
      <c r="A260" t="inlineStr">
        <is>
          <t>2026-07-27</t>
        </is>
      </c>
      <c r="B260" t="inlineStr">
        <is>
          <t>PIG-B02</t>
        </is>
      </c>
      <c r="C260" t="inlineStr">
        <is>
          <t>Pen 1</t>
        </is>
      </c>
      <c r="D260" t="inlineStr">
        <is>
          <t>Pig finisher</t>
        </is>
      </c>
      <c r="E260" t="n">
        <v>60.1</v>
      </c>
      <c r="F260" t="n">
        <v>177.5</v>
      </c>
      <c r="G260" t="n">
        <v>0</v>
      </c>
      <c r="H260" t="n">
        <v>0</v>
      </c>
      <c r="I260">
        <f>IFERROR(INDEX(P1_PIG_BATCHES!$E:$E,MATCH(B260,P1_PIG_BATCHES!$A:$A,0))-G260-H260,0)</f>
        <v/>
      </c>
      <c r="J260" t="n">
        <v>23.7</v>
      </c>
      <c r="K260" t="inlineStr">
        <is>
          <t>Dry</t>
        </is>
      </c>
      <c r="M260" t="inlineStr">
        <is>
          <t>S01</t>
        </is>
      </c>
    </row>
    <row r="261">
      <c r="A261" t="inlineStr">
        <is>
          <t>2026-07-28</t>
        </is>
      </c>
      <c r="B261" t="inlineStr">
        <is>
          <t>PIG-B02</t>
        </is>
      </c>
      <c r="C261" t="inlineStr">
        <is>
          <t>Pen 1</t>
        </is>
      </c>
      <c r="D261" t="inlineStr">
        <is>
          <t>Pig finisher</t>
        </is>
      </c>
      <c r="E261" t="n">
        <v>58.5</v>
      </c>
      <c r="F261" t="n">
        <v>142.6</v>
      </c>
      <c r="G261" t="n">
        <v>0</v>
      </c>
      <c r="H261" t="n">
        <v>0</v>
      </c>
      <c r="I261">
        <f>IFERROR(INDEX(P1_PIG_BATCHES!$E:$E,MATCH(B261,P1_PIG_BATCHES!$A:$A,0))-G261-H261,0)</f>
        <v/>
      </c>
      <c r="J261" t="n">
        <v>25.4</v>
      </c>
      <c r="K261" t="inlineStr">
        <is>
          <t>Dry</t>
        </is>
      </c>
      <c r="M261" t="inlineStr">
        <is>
          <t>S01</t>
        </is>
      </c>
    </row>
    <row r="262">
      <c r="A262" t="inlineStr">
        <is>
          <t>2026-07-29</t>
        </is>
      </c>
      <c r="B262" t="inlineStr">
        <is>
          <t>PIG-B02</t>
        </is>
      </c>
      <c r="C262" t="inlineStr">
        <is>
          <t>Pen 1</t>
        </is>
      </c>
      <c r="D262" t="inlineStr">
        <is>
          <t>Pig finisher</t>
        </is>
      </c>
      <c r="E262" t="n">
        <v>63.6</v>
      </c>
      <c r="F262" t="n">
        <v>160.9</v>
      </c>
      <c r="G262" t="n">
        <v>0</v>
      </c>
      <c r="H262" t="n">
        <v>0</v>
      </c>
      <c r="I262">
        <f>IFERROR(INDEX(P1_PIG_BATCHES!$E:$E,MATCH(B262,P1_PIG_BATCHES!$A:$A,0))-G262-H262,0)</f>
        <v/>
      </c>
      <c r="J262" t="n">
        <v>24</v>
      </c>
      <c r="K262" t="inlineStr">
        <is>
          <t>Dry</t>
        </is>
      </c>
      <c r="M262" t="inlineStr">
        <is>
          <t>S01</t>
        </is>
      </c>
    </row>
    <row r="263">
      <c r="A263" t="inlineStr">
        <is>
          <t>2026-07-30</t>
        </is>
      </c>
      <c r="B263" t="inlineStr">
        <is>
          <t>PIG-B02</t>
        </is>
      </c>
      <c r="C263" t="inlineStr">
        <is>
          <t>Pen 1</t>
        </is>
      </c>
      <c r="D263" t="inlineStr">
        <is>
          <t>Pig finisher</t>
        </is>
      </c>
      <c r="E263" t="n">
        <v>55.7</v>
      </c>
      <c r="F263" t="n">
        <v>151.7</v>
      </c>
      <c r="G263" t="n">
        <v>0</v>
      </c>
      <c r="H263" t="n">
        <v>0</v>
      </c>
      <c r="I263">
        <f>IFERROR(INDEX(P1_PIG_BATCHES!$E:$E,MATCH(B263,P1_PIG_BATCHES!$A:$A,0))-G263-H263,0)</f>
        <v/>
      </c>
      <c r="J263" t="n">
        <v>25.5</v>
      </c>
      <c r="K263" t="inlineStr">
        <is>
          <t>Dry</t>
        </is>
      </c>
      <c r="M263" t="inlineStr">
        <is>
          <t>S01</t>
        </is>
      </c>
    </row>
    <row r="264">
      <c r="A264" t="inlineStr">
        <is>
          <t>2026-07-31</t>
        </is>
      </c>
      <c r="B264" t="inlineStr">
        <is>
          <t>PIG-B02</t>
        </is>
      </c>
      <c r="C264" t="inlineStr">
        <is>
          <t>Pen 1</t>
        </is>
      </c>
      <c r="D264" t="inlineStr">
        <is>
          <t>Pig finisher</t>
        </is>
      </c>
      <c r="E264" t="n">
        <v>53.3</v>
      </c>
      <c r="F264" t="n">
        <v>159</v>
      </c>
      <c r="G264" t="n">
        <v>0</v>
      </c>
      <c r="H264" t="n">
        <v>0</v>
      </c>
      <c r="I264">
        <f>IFERROR(INDEX(P1_PIG_BATCHES!$E:$E,MATCH(B264,P1_PIG_BATCHES!$A:$A,0))-G264-H264,0)</f>
        <v/>
      </c>
      <c r="J264" t="n">
        <v>23.9</v>
      </c>
      <c r="K264" t="inlineStr">
        <is>
          <t>Dry</t>
        </is>
      </c>
      <c r="M264" t="inlineStr">
        <is>
          <t>S01</t>
        </is>
      </c>
    </row>
    <row r="265">
      <c r="A265" t="inlineStr">
        <is>
          <t>2026-08-01</t>
        </is>
      </c>
      <c r="B265" t="inlineStr">
        <is>
          <t>PIG-B02</t>
        </is>
      </c>
      <c r="C265" t="inlineStr">
        <is>
          <t>Pen 1</t>
        </is>
      </c>
      <c r="D265" t="inlineStr">
        <is>
          <t>Pig finisher</t>
        </is>
      </c>
      <c r="E265" t="n">
        <v>59.5</v>
      </c>
      <c r="F265" t="n">
        <v>174.2</v>
      </c>
      <c r="G265" t="n">
        <v>0</v>
      </c>
      <c r="H265" t="n">
        <v>0</v>
      </c>
      <c r="I265">
        <f>IFERROR(INDEX(P1_PIG_BATCHES!$E:$E,MATCH(B265,P1_PIG_BATCHES!$A:$A,0))-G265-H265,0)</f>
        <v/>
      </c>
      <c r="J265" t="n">
        <v>25.4</v>
      </c>
      <c r="K265" t="inlineStr">
        <is>
          <t>Dry</t>
        </is>
      </c>
      <c r="M265" t="inlineStr">
        <is>
          <t>S01</t>
        </is>
      </c>
    </row>
    <row r="266">
      <c r="A266" t="inlineStr">
        <is>
          <t>2026-08-02</t>
        </is>
      </c>
      <c r="B266" t="inlineStr">
        <is>
          <t>PIG-B02</t>
        </is>
      </c>
      <c r="C266" t="inlineStr">
        <is>
          <t>Pen 1</t>
        </is>
      </c>
      <c r="D266" t="inlineStr">
        <is>
          <t>Pig finisher</t>
        </is>
      </c>
      <c r="E266" t="n">
        <v>63.5</v>
      </c>
      <c r="F266" t="n">
        <v>158.1</v>
      </c>
      <c r="G266" t="n">
        <v>0</v>
      </c>
      <c r="H266" t="n">
        <v>0</v>
      </c>
      <c r="I266">
        <f>IFERROR(INDEX(P1_PIG_BATCHES!$E:$E,MATCH(B266,P1_PIG_BATCHES!$A:$A,0))-G266-H266,0)</f>
        <v/>
      </c>
      <c r="J266" t="n">
        <v>26.8</v>
      </c>
      <c r="K266" t="inlineStr">
        <is>
          <t>Dry</t>
        </is>
      </c>
      <c r="M266" t="inlineStr">
        <is>
          <t>S01</t>
        </is>
      </c>
    </row>
    <row r="267">
      <c r="A267" t="inlineStr">
        <is>
          <t>2026-08-03</t>
        </is>
      </c>
      <c r="B267" t="inlineStr">
        <is>
          <t>PIG-B02</t>
        </is>
      </c>
      <c r="C267" t="inlineStr">
        <is>
          <t>Pen 1</t>
        </is>
      </c>
      <c r="D267" t="inlineStr">
        <is>
          <t>Pig finisher</t>
        </is>
      </c>
      <c r="E267" t="n">
        <v>61.4</v>
      </c>
      <c r="F267" t="n">
        <v>139.8</v>
      </c>
      <c r="G267" t="n">
        <v>0</v>
      </c>
      <c r="H267" t="n">
        <v>0</v>
      </c>
      <c r="I267">
        <f>IFERROR(INDEX(P1_PIG_BATCHES!$E:$E,MATCH(B267,P1_PIG_BATCHES!$A:$A,0))-G267-H267,0)</f>
        <v/>
      </c>
      <c r="J267" t="n">
        <v>25.9</v>
      </c>
      <c r="K267" t="inlineStr">
        <is>
          <t>Dry</t>
        </is>
      </c>
      <c r="M267" t="inlineStr">
        <is>
          <t>S01</t>
        </is>
      </c>
    </row>
    <row r="268">
      <c r="A268" t="inlineStr">
        <is>
          <t>2026-08-04</t>
        </is>
      </c>
      <c r="B268" t="inlineStr">
        <is>
          <t>PIG-B02</t>
        </is>
      </c>
      <c r="C268" t="inlineStr">
        <is>
          <t>Pen 1</t>
        </is>
      </c>
      <c r="D268" t="inlineStr">
        <is>
          <t>Pig finisher</t>
        </is>
      </c>
      <c r="E268" t="n">
        <v>57.3</v>
      </c>
      <c r="F268" t="n">
        <v>155.6</v>
      </c>
      <c r="G268" t="n">
        <v>0</v>
      </c>
      <c r="H268" t="n">
        <v>0</v>
      </c>
      <c r="I268">
        <f>IFERROR(INDEX(P1_PIG_BATCHES!$E:$E,MATCH(B268,P1_PIG_BATCHES!$A:$A,0))-G268-H268,0)</f>
        <v/>
      </c>
      <c r="J268" t="n">
        <v>20.7</v>
      </c>
      <c r="K268" t="inlineStr">
        <is>
          <t>Dry</t>
        </is>
      </c>
      <c r="M268" t="inlineStr">
        <is>
          <t>S01</t>
        </is>
      </c>
    </row>
    <row r="269">
      <c r="A269" t="inlineStr">
        <is>
          <t>2026-08-05</t>
        </is>
      </c>
      <c r="B269" t="inlineStr">
        <is>
          <t>PIG-B02</t>
        </is>
      </c>
      <c r="C269" t="inlineStr">
        <is>
          <t>Pen 1</t>
        </is>
      </c>
      <c r="D269" t="inlineStr">
        <is>
          <t>Pig finisher</t>
        </is>
      </c>
      <c r="E269" t="n">
        <v>61.9</v>
      </c>
      <c r="F269" t="n">
        <v>156.1</v>
      </c>
      <c r="G269" t="n">
        <v>0</v>
      </c>
      <c r="H269" t="n">
        <v>0</v>
      </c>
      <c r="I269">
        <f>IFERROR(INDEX(P1_PIG_BATCHES!$E:$E,MATCH(B269,P1_PIG_BATCHES!$A:$A,0))-G269-H269,0)</f>
        <v/>
      </c>
      <c r="J269" t="n">
        <v>25.8</v>
      </c>
      <c r="K269" t="inlineStr">
        <is>
          <t>Dry</t>
        </is>
      </c>
      <c r="M269" t="inlineStr">
        <is>
          <t>S01</t>
        </is>
      </c>
    </row>
    <row r="270">
      <c r="A270" t="inlineStr">
        <is>
          <t>2026-08-06</t>
        </is>
      </c>
      <c r="B270" t="inlineStr">
        <is>
          <t>PIG-B02</t>
        </is>
      </c>
      <c r="C270" t="inlineStr">
        <is>
          <t>Pen 1</t>
        </is>
      </c>
      <c r="D270" t="inlineStr">
        <is>
          <t>Pig finisher</t>
        </is>
      </c>
      <c r="E270" t="n">
        <v>58.4</v>
      </c>
      <c r="F270" t="n">
        <v>129.5</v>
      </c>
      <c r="G270" t="n">
        <v>0</v>
      </c>
      <c r="H270" t="n">
        <v>0</v>
      </c>
      <c r="I270">
        <f>IFERROR(INDEX(P1_PIG_BATCHES!$E:$E,MATCH(B270,P1_PIG_BATCHES!$A:$A,0))-G270-H270,0)</f>
        <v/>
      </c>
      <c r="J270" t="n">
        <v>22.3</v>
      </c>
      <c r="K270" t="inlineStr">
        <is>
          <t>Dry</t>
        </is>
      </c>
      <c r="M270" t="inlineStr">
        <is>
          <t>S01</t>
        </is>
      </c>
    </row>
    <row r="271">
      <c r="A271" t="inlineStr">
        <is>
          <t>2026-08-07</t>
        </is>
      </c>
      <c r="B271" t="inlineStr">
        <is>
          <t>PIG-B02</t>
        </is>
      </c>
      <c r="C271" t="inlineStr">
        <is>
          <t>Pen 1</t>
        </is>
      </c>
      <c r="D271" t="inlineStr">
        <is>
          <t>Pig finisher</t>
        </is>
      </c>
      <c r="E271" t="n">
        <v>59.7</v>
      </c>
      <c r="F271" t="n">
        <v>159</v>
      </c>
      <c r="G271" t="n">
        <v>0</v>
      </c>
      <c r="H271" t="n">
        <v>0</v>
      </c>
      <c r="I271">
        <f>IFERROR(INDEX(P1_PIG_BATCHES!$E:$E,MATCH(B271,P1_PIG_BATCHES!$A:$A,0))-G271-H271,0)</f>
        <v/>
      </c>
      <c r="J271" t="n">
        <v>24.5</v>
      </c>
      <c r="K271" t="inlineStr">
        <is>
          <t>Dry</t>
        </is>
      </c>
      <c r="M271" t="inlineStr">
        <is>
          <t>S01</t>
        </is>
      </c>
    </row>
    <row r="272">
      <c r="A272" t="inlineStr">
        <is>
          <t>2026-08-08</t>
        </is>
      </c>
      <c r="B272" t="inlineStr">
        <is>
          <t>PIG-B02</t>
        </is>
      </c>
      <c r="C272" t="inlineStr">
        <is>
          <t>Pen 1</t>
        </is>
      </c>
      <c r="D272" t="inlineStr">
        <is>
          <t>Pig finisher</t>
        </is>
      </c>
      <c r="E272" t="n">
        <v>57.8</v>
      </c>
      <c r="F272" t="n">
        <v>162.6</v>
      </c>
      <c r="G272" t="n">
        <v>0</v>
      </c>
      <c r="H272" t="n">
        <v>0</v>
      </c>
      <c r="I272">
        <f>IFERROR(INDEX(P1_PIG_BATCHES!$E:$E,MATCH(B272,P1_PIG_BATCHES!$A:$A,0))-G272-H272,0)</f>
        <v/>
      </c>
      <c r="J272" t="n">
        <v>24.6</v>
      </c>
      <c r="K272" t="inlineStr">
        <is>
          <t>Dry</t>
        </is>
      </c>
      <c r="M272" t="inlineStr">
        <is>
          <t>S01</t>
        </is>
      </c>
    </row>
    <row r="273">
      <c r="A273" t="inlineStr">
        <is>
          <t>2026-08-09</t>
        </is>
      </c>
      <c r="B273" t="inlineStr">
        <is>
          <t>PIG-B02</t>
        </is>
      </c>
      <c r="C273" t="inlineStr">
        <is>
          <t>Pen 1</t>
        </is>
      </c>
      <c r="D273" t="inlineStr">
        <is>
          <t>Pig finisher</t>
        </is>
      </c>
      <c r="E273" t="n">
        <v>57.2</v>
      </c>
      <c r="F273" t="n">
        <v>127.5</v>
      </c>
      <c r="G273" t="n">
        <v>0</v>
      </c>
      <c r="H273" t="n">
        <v>0</v>
      </c>
      <c r="I273">
        <f>IFERROR(INDEX(P1_PIG_BATCHES!$E:$E,MATCH(B273,P1_PIG_BATCHES!$A:$A,0))-G273-H273,0)</f>
        <v/>
      </c>
      <c r="J273" t="n">
        <v>21.2</v>
      </c>
      <c r="K273" t="inlineStr">
        <is>
          <t>Dry</t>
        </is>
      </c>
      <c r="M273" t="inlineStr">
        <is>
          <t>S01</t>
        </is>
      </c>
    </row>
    <row r="274">
      <c r="A274" t="inlineStr">
        <is>
          <t>2026-08-10</t>
        </is>
      </c>
      <c r="B274" t="inlineStr">
        <is>
          <t>PIG-B02</t>
        </is>
      </c>
      <c r="C274" t="inlineStr">
        <is>
          <t>Pen 1</t>
        </is>
      </c>
      <c r="D274" t="inlineStr">
        <is>
          <t>Pig finisher</t>
        </is>
      </c>
      <c r="E274" t="n">
        <v>66</v>
      </c>
      <c r="F274" t="n">
        <v>151.8</v>
      </c>
      <c r="G274" t="n">
        <v>0</v>
      </c>
      <c r="H274" t="n">
        <v>0</v>
      </c>
      <c r="I274">
        <f>IFERROR(INDEX(P1_PIG_BATCHES!$E:$E,MATCH(B274,P1_PIG_BATCHES!$A:$A,0))-G274-H274,0)</f>
        <v/>
      </c>
      <c r="J274" t="n">
        <v>27.2</v>
      </c>
      <c r="K274" t="inlineStr">
        <is>
          <t>Dry</t>
        </is>
      </c>
      <c r="M274" t="inlineStr">
        <is>
          <t>S01</t>
        </is>
      </c>
    </row>
    <row r="275">
      <c r="A275" t="inlineStr">
        <is>
          <t>2026-08-11</t>
        </is>
      </c>
      <c r="B275" t="inlineStr">
        <is>
          <t>PIG-B02</t>
        </is>
      </c>
      <c r="C275" t="inlineStr">
        <is>
          <t>Pen 1</t>
        </is>
      </c>
      <c r="D275" t="inlineStr">
        <is>
          <t>Pig finisher</t>
        </is>
      </c>
      <c r="E275" t="n">
        <v>56.7</v>
      </c>
      <c r="F275" t="n">
        <v>145.4</v>
      </c>
      <c r="G275" t="n">
        <v>0</v>
      </c>
      <c r="H275" t="n">
        <v>0</v>
      </c>
      <c r="I275">
        <f>IFERROR(INDEX(P1_PIG_BATCHES!$E:$E,MATCH(B275,P1_PIG_BATCHES!$A:$A,0))-G275-H275,0)</f>
        <v/>
      </c>
      <c r="J275" t="n">
        <v>21.9</v>
      </c>
      <c r="K275" t="inlineStr">
        <is>
          <t>Dry</t>
        </is>
      </c>
      <c r="M275" t="inlineStr">
        <is>
          <t>S01</t>
        </is>
      </c>
    </row>
    <row r="276">
      <c r="A276" t="inlineStr">
        <is>
          <t>2026-08-12</t>
        </is>
      </c>
      <c r="B276" t="inlineStr">
        <is>
          <t>PIG-B02</t>
        </is>
      </c>
      <c r="C276" t="inlineStr">
        <is>
          <t>Pen 1</t>
        </is>
      </c>
      <c r="D276" t="inlineStr">
        <is>
          <t>Pig finisher</t>
        </is>
      </c>
      <c r="E276" t="n">
        <v>59.1</v>
      </c>
      <c r="F276" t="n">
        <v>150.8</v>
      </c>
      <c r="G276" t="n">
        <v>0</v>
      </c>
      <c r="H276" t="n">
        <v>0</v>
      </c>
      <c r="I276">
        <f>IFERROR(INDEX(P1_PIG_BATCHES!$E:$E,MATCH(B276,P1_PIG_BATCHES!$A:$A,0))-G276-H276,0)</f>
        <v/>
      </c>
      <c r="J276" t="n">
        <v>25.4</v>
      </c>
      <c r="K276" t="inlineStr">
        <is>
          <t>Dry</t>
        </is>
      </c>
      <c r="M276" t="inlineStr">
        <is>
          <t>S01</t>
        </is>
      </c>
    </row>
    <row r="277">
      <c r="A277" t="inlineStr">
        <is>
          <t>2026-08-13</t>
        </is>
      </c>
      <c r="B277" t="inlineStr">
        <is>
          <t>PIG-B02</t>
        </is>
      </c>
      <c r="C277" t="inlineStr">
        <is>
          <t>Pen 1</t>
        </is>
      </c>
      <c r="D277" t="inlineStr">
        <is>
          <t>Pig finisher</t>
        </is>
      </c>
      <c r="E277" t="n">
        <v>56.6</v>
      </c>
      <c r="F277" t="n">
        <v>160.9</v>
      </c>
      <c r="G277" t="n">
        <v>0</v>
      </c>
      <c r="H277" t="n">
        <v>0</v>
      </c>
      <c r="I277">
        <f>IFERROR(INDEX(P1_PIG_BATCHES!$E:$E,MATCH(B277,P1_PIG_BATCHES!$A:$A,0))-G277-H277,0)</f>
        <v/>
      </c>
      <c r="J277" t="n">
        <v>21.2</v>
      </c>
      <c r="K277" t="inlineStr">
        <is>
          <t>Dry</t>
        </is>
      </c>
      <c r="M277" t="inlineStr">
        <is>
          <t>S01</t>
        </is>
      </c>
    </row>
    <row r="278">
      <c r="A278" t="inlineStr">
        <is>
          <t>2026-08-14</t>
        </is>
      </c>
      <c r="B278" t="inlineStr">
        <is>
          <t>PIG-B02</t>
        </is>
      </c>
      <c r="C278" t="inlineStr">
        <is>
          <t>Pen 1</t>
        </is>
      </c>
      <c r="D278" t="inlineStr">
        <is>
          <t>Pig finisher</t>
        </is>
      </c>
      <c r="E278" t="n">
        <v>61.5</v>
      </c>
      <c r="F278" t="n">
        <v>168.4</v>
      </c>
      <c r="G278" t="n">
        <v>0</v>
      </c>
      <c r="H278" t="n">
        <v>0</v>
      </c>
      <c r="I278">
        <f>IFERROR(INDEX(P1_PIG_BATCHES!$E:$E,MATCH(B278,P1_PIG_BATCHES!$A:$A,0))-G278-H278,0)</f>
        <v/>
      </c>
      <c r="J278" t="n">
        <v>21.6</v>
      </c>
      <c r="K278" t="inlineStr">
        <is>
          <t>Dry</t>
        </is>
      </c>
      <c r="M278" t="inlineStr">
        <is>
          <t>S01</t>
        </is>
      </c>
    </row>
    <row r="279">
      <c r="A279" t="inlineStr">
        <is>
          <t>2026-08-15</t>
        </is>
      </c>
      <c r="B279" t="inlineStr">
        <is>
          <t>PIG-B02</t>
        </is>
      </c>
      <c r="C279" t="inlineStr">
        <is>
          <t>Pen 1</t>
        </is>
      </c>
      <c r="D279" t="inlineStr">
        <is>
          <t>Pig finisher</t>
        </is>
      </c>
      <c r="E279" t="n">
        <v>55.7</v>
      </c>
      <c r="F279" t="n">
        <v>130.7</v>
      </c>
      <c r="G279" t="n">
        <v>0</v>
      </c>
      <c r="H279" t="n">
        <v>0</v>
      </c>
      <c r="I279">
        <f>IFERROR(INDEX(P1_PIG_BATCHES!$E:$E,MATCH(B279,P1_PIG_BATCHES!$A:$A,0))-G279-H279,0)</f>
        <v/>
      </c>
      <c r="J279" t="n">
        <v>21.6</v>
      </c>
      <c r="K279" t="inlineStr">
        <is>
          <t>Dry</t>
        </is>
      </c>
      <c r="M279" t="inlineStr">
        <is>
          <t>S01</t>
        </is>
      </c>
    </row>
    <row r="280">
      <c r="A280" t="inlineStr">
        <is>
          <t>2026-08-16</t>
        </is>
      </c>
      <c r="B280" t="inlineStr">
        <is>
          <t>PIG-B02</t>
        </is>
      </c>
      <c r="C280" t="inlineStr">
        <is>
          <t>Pen 1</t>
        </is>
      </c>
      <c r="D280" t="inlineStr">
        <is>
          <t>Pig finisher</t>
        </is>
      </c>
      <c r="E280" t="n">
        <v>65.90000000000001</v>
      </c>
      <c r="F280" t="n">
        <v>157.6</v>
      </c>
      <c r="G280" t="n">
        <v>0</v>
      </c>
      <c r="H280" t="n">
        <v>0</v>
      </c>
      <c r="I280">
        <f>IFERROR(INDEX(P1_PIG_BATCHES!$E:$E,MATCH(B280,P1_PIG_BATCHES!$A:$A,0))-G280-H280,0)</f>
        <v/>
      </c>
      <c r="J280" t="n">
        <v>23.3</v>
      </c>
      <c r="K280" t="inlineStr">
        <is>
          <t>Dry</t>
        </is>
      </c>
      <c r="M280" t="inlineStr">
        <is>
          <t>S01</t>
        </is>
      </c>
    </row>
    <row r="281">
      <c r="A281" t="inlineStr">
        <is>
          <t>2026-08-17</t>
        </is>
      </c>
      <c r="B281" t="inlineStr">
        <is>
          <t>PIG-B02</t>
        </is>
      </c>
      <c r="C281" t="inlineStr">
        <is>
          <t>Pen 1</t>
        </is>
      </c>
      <c r="D281" t="inlineStr">
        <is>
          <t>Pig finisher</t>
        </is>
      </c>
      <c r="E281" t="n">
        <v>61.4</v>
      </c>
      <c r="F281" t="n">
        <v>156.4</v>
      </c>
      <c r="G281" t="n">
        <v>0</v>
      </c>
      <c r="H281" t="n">
        <v>0</v>
      </c>
      <c r="I281">
        <f>IFERROR(INDEX(P1_PIG_BATCHES!$E:$E,MATCH(B281,P1_PIG_BATCHES!$A:$A,0))-G281-H281,0)</f>
        <v/>
      </c>
      <c r="J281" t="n">
        <v>20.6</v>
      </c>
      <c r="K281" t="inlineStr">
        <is>
          <t>Dry</t>
        </is>
      </c>
      <c r="M281" t="inlineStr">
        <is>
          <t>S01</t>
        </is>
      </c>
    </row>
    <row r="282">
      <c r="A282" t="inlineStr">
        <is>
          <t>2025-11-10</t>
        </is>
      </c>
      <c r="B282" t="inlineStr">
        <is>
          <t>PIG-B03</t>
        </is>
      </c>
      <c r="C282" t="inlineStr">
        <is>
          <t>Pen 2</t>
        </is>
      </c>
      <c r="D282" t="inlineStr">
        <is>
          <t>Pig starter</t>
        </is>
      </c>
      <c r="E282" t="n">
        <v>7.8</v>
      </c>
      <c r="F282" t="n">
        <v>20.8</v>
      </c>
      <c r="G282" t="n">
        <v>0</v>
      </c>
      <c r="H282" t="n">
        <v>0</v>
      </c>
      <c r="I282">
        <f>IFERROR(INDEX(P1_PIG_BATCHES!$E:$E,MATCH(B282,P1_PIG_BATCHES!$A:$A,0))-G282-H282,0)</f>
        <v/>
      </c>
      <c r="J282" t="n">
        <v>23.2</v>
      </c>
      <c r="K282" t="inlineStr">
        <is>
          <t>Dry</t>
        </is>
      </c>
      <c r="M282" t="inlineStr">
        <is>
          <t>S01</t>
        </is>
      </c>
    </row>
    <row r="283">
      <c r="A283" t="inlineStr">
        <is>
          <t>2025-11-11</t>
        </is>
      </c>
      <c r="B283" t="inlineStr">
        <is>
          <t>PIG-B03</t>
        </is>
      </c>
      <c r="C283" t="inlineStr">
        <is>
          <t>Pen 2</t>
        </is>
      </c>
      <c r="D283" t="inlineStr">
        <is>
          <t>Pig starter</t>
        </is>
      </c>
      <c r="E283" t="n">
        <v>8.300000000000001</v>
      </c>
      <c r="F283" t="n">
        <v>23.2</v>
      </c>
      <c r="G283" t="n">
        <v>0</v>
      </c>
      <c r="H283" t="n">
        <v>0</v>
      </c>
      <c r="I283">
        <f>IFERROR(INDEX(P1_PIG_BATCHES!$E:$E,MATCH(B283,P1_PIG_BATCHES!$A:$A,0))-G283-H283,0)</f>
        <v/>
      </c>
      <c r="J283" t="n">
        <v>26.2</v>
      </c>
      <c r="K283" t="inlineStr">
        <is>
          <t>Dry</t>
        </is>
      </c>
      <c r="M283" t="inlineStr">
        <is>
          <t>S01</t>
        </is>
      </c>
    </row>
    <row r="284">
      <c r="A284" t="inlineStr">
        <is>
          <t>2025-11-12</t>
        </is>
      </c>
      <c r="B284" t="inlineStr">
        <is>
          <t>PIG-B03</t>
        </is>
      </c>
      <c r="C284" t="inlineStr">
        <is>
          <t>Pen 2</t>
        </is>
      </c>
      <c r="D284" t="inlineStr">
        <is>
          <t>Pig starter</t>
        </is>
      </c>
      <c r="E284" t="n">
        <v>8.5</v>
      </c>
      <c r="F284" t="n">
        <v>24.6</v>
      </c>
      <c r="G284" t="n">
        <v>0</v>
      </c>
      <c r="H284" t="n">
        <v>0</v>
      </c>
      <c r="I284">
        <f>IFERROR(INDEX(P1_PIG_BATCHES!$E:$E,MATCH(B284,P1_PIG_BATCHES!$A:$A,0))-G284-H284,0)</f>
        <v/>
      </c>
      <c r="J284" t="n">
        <v>21.7</v>
      </c>
      <c r="K284" t="inlineStr">
        <is>
          <t>Dry</t>
        </is>
      </c>
      <c r="M284" t="inlineStr">
        <is>
          <t>S01</t>
        </is>
      </c>
    </row>
    <row r="285">
      <c r="A285" t="inlineStr">
        <is>
          <t>2025-11-13</t>
        </is>
      </c>
      <c r="B285" t="inlineStr">
        <is>
          <t>PIG-B03</t>
        </is>
      </c>
      <c r="C285" t="inlineStr">
        <is>
          <t>Pen 2</t>
        </is>
      </c>
      <c r="D285" t="inlineStr">
        <is>
          <t>Pig starter</t>
        </is>
      </c>
      <c r="E285" t="n">
        <v>9.800000000000001</v>
      </c>
      <c r="F285" t="n">
        <v>23.7</v>
      </c>
      <c r="G285" t="n">
        <v>0</v>
      </c>
      <c r="H285" t="n">
        <v>0</v>
      </c>
      <c r="I285">
        <f>IFERROR(INDEX(P1_PIG_BATCHES!$E:$E,MATCH(B285,P1_PIG_BATCHES!$A:$A,0))-G285-H285,0)</f>
        <v/>
      </c>
      <c r="J285" t="n">
        <v>26.6</v>
      </c>
      <c r="K285" t="inlineStr">
        <is>
          <t>Dry</t>
        </is>
      </c>
      <c r="M285" t="inlineStr">
        <is>
          <t>S01</t>
        </is>
      </c>
    </row>
    <row r="286">
      <c r="A286" t="inlineStr">
        <is>
          <t>2025-11-14</t>
        </is>
      </c>
      <c r="B286" t="inlineStr">
        <is>
          <t>PIG-B03</t>
        </is>
      </c>
      <c r="C286" t="inlineStr">
        <is>
          <t>Pen 2</t>
        </is>
      </c>
      <c r="D286" t="inlineStr">
        <is>
          <t>Pig starter</t>
        </is>
      </c>
      <c r="E286" t="n">
        <v>10.8</v>
      </c>
      <c r="F286" t="n">
        <v>28.9</v>
      </c>
      <c r="G286" t="n">
        <v>0</v>
      </c>
      <c r="H286" t="n">
        <v>0</v>
      </c>
      <c r="I286">
        <f>IFERROR(INDEX(P1_PIG_BATCHES!$E:$E,MATCH(B286,P1_PIG_BATCHES!$A:$A,0))-G286-H286,0)</f>
        <v/>
      </c>
      <c r="J286" t="n">
        <v>24.8</v>
      </c>
      <c r="K286" t="inlineStr">
        <is>
          <t>Dry</t>
        </is>
      </c>
      <c r="M286" t="inlineStr">
        <is>
          <t>S01</t>
        </is>
      </c>
    </row>
    <row r="287">
      <c r="A287" t="inlineStr">
        <is>
          <t>2025-11-15</t>
        </is>
      </c>
      <c r="B287" t="inlineStr">
        <is>
          <t>PIG-B03</t>
        </is>
      </c>
      <c r="C287" t="inlineStr">
        <is>
          <t>Pen 2</t>
        </is>
      </c>
      <c r="D287" t="inlineStr">
        <is>
          <t>Pig starter</t>
        </is>
      </c>
      <c r="E287" t="n">
        <v>10.5</v>
      </c>
      <c r="F287" t="n">
        <v>30.1</v>
      </c>
      <c r="G287" t="n">
        <v>0</v>
      </c>
      <c r="H287" t="n">
        <v>0</v>
      </c>
      <c r="I287">
        <f>IFERROR(INDEX(P1_PIG_BATCHES!$E:$E,MATCH(B287,P1_PIG_BATCHES!$A:$A,0))-G287-H287,0)</f>
        <v/>
      </c>
      <c r="J287" t="n">
        <v>24.8</v>
      </c>
      <c r="K287" t="inlineStr">
        <is>
          <t>Dry</t>
        </is>
      </c>
      <c r="M287" t="inlineStr">
        <is>
          <t>S01</t>
        </is>
      </c>
    </row>
    <row r="288">
      <c r="A288" t="inlineStr">
        <is>
          <t>2025-11-16</t>
        </is>
      </c>
      <c r="B288" t="inlineStr">
        <is>
          <t>PIG-B03</t>
        </is>
      </c>
      <c r="C288" t="inlineStr">
        <is>
          <t>Pen 2</t>
        </is>
      </c>
      <c r="D288" t="inlineStr">
        <is>
          <t>Pig starter</t>
        </is>
      </c>
      <c r="E288" t="n">
        <v>12</v>
      </c>
      <c r="F288" t="n">
        <v>29.3</v>
      </c>
      <c r="G288" t="n">
        <v>0</v>
      </c>
      <c r="H288" t="n">
        <v>0</v>
      </c>
      <c r="I288">
        <f>IFERROR(INDEX(P1_PIG_BATCHES!$E:$E,MATCH(B288,P1_PIG_BATCHES!$A:$A,0))-G288-H288,0)</f>
        <v/>
      </c>
      <c r="J288" t="n">
        <v>24.8</v>
      </c>
      <c r="K288" t="inlineStr">
        <is>
          <t>Dry</t>
        </is>
      </c>
      <c r="M288" t="inlineStr">
        <is>
          <t>S01</t>
        </is>
      </c>
    </row>
    <row r="289">
      <c r="A289" t="inlineStr">
        <is>
          <t>2025-11-17</t>
        </is>
      </c>
      <c r="B289" t="inlineStr">
        <is>
          <t>PIG-B03</t>
        </is>
      </c>
      <c r="C289" t="inlineStr">
        <is>
          <t>Pen 2</t>
        </is>
      </c>
      <c r="D289" t="inlineStr">
        <is>
          <t>Pig starter</t>
        </is>
      </c>
      <c r="E289" t="n">
        <v>10.9</v>
      </c>
      <c r="F289" t="n">
        <v>25.1</v>
      </c>
      <c r="G289" t="n">
        <v>0</v>
      </c>
      <c r="H289" t="n">
        <v>0</v>
      </c>
      <c r="I289">
        <f>IFERROR(INDEX(P1_PIG_BATCHES!$E:$E,MATCH(B289,P1_PIG_BATCHES!$A:$A,0))-G289-H289,0)</f>
        <v/>
      </c>
      <c r="J289" t="n">
        <v>22.6</v>
      </c>
      <c r="K289" t="inlineStr">
        <is>
          <t>Dry</t>
        </is>
      </c>
      <c r="M289" t="inlineStr">
        <is>
          <t>S01</t>
        </is>
      </c>
    </row>
    <row r="290">
      <c r="A290" t="inlineStr">
        <is>
          <t>2025-11-18</t>
        </is>
      </c>
      <c r="B290" t="inlineStr">
        <is>
          <t>PIG-B03</t>
        </is>
      </c>
      <c r="C290" t="inlineStr">
        <is>
          <t>Pen 2</t>
        </is>
      </c>
      <c r="D290" t="inlineStr">
        <is>
          <t>Pig starter</t>
        </is>
      </c>
      <c r="E290" t="n">
        <v>13</v>
      </c>
      <c r="F290" t="n">
        <v>33.9</v>
      </c>
      <c r="G290" t="n">
        <v>0</v>
      </c>
      <c r="H290" t="n">
        <v>0</v>
      </c>
      <c r="I290">
        <f>IFERROR(INDEX(P1_PIG_BATCHES!$E:$E,MATCH(B290,P1_PIG_BATCHES!$A:$A,0))-G290-H290,0)</f>
        <v/>
      </c>
      <c r="J290" t="n">
        <v>23.4</v>
      </c>
      <c r="K290" t="inlineStr">
        <is>
          <t>Dry</t>
        </is>
      </c>
      <c r="M290" t="inlineStr">
        <is>
          <t>S01</t>
        </is>
      </c>
    </row>
    <row r="291">
      <c r="A291" t="inlineStr">
        <is>
          <t>2025-11-19</t>
        </is>
      </c>
      <c r="B291" t="inlineStr">
        <is>
          <t>PIG-B03</t>
        </is>
      </c>
      <c r="C291" t="inlineStr">
        <is>
          <t>Pen 2</t>
        </is>
      </c>
      <c r="D291" t="inlineStr">
        <is>
          <t>Pig starter</t>
        </is>
      </c>
      <c r="E291" t="n">
        <v>12.6</v>
      </c>
      <c r="F291" t="n">
        <v>29.7</v>
      </c>
      <c r="G291" t="n">
        <v>0</v>
      </c>
      <c r="H291" t="n">
        <v>0</v>
      </c>
      <c r="I291">
        <f>IFERROR(INDEX(P1_PIG_BATCHES!$E:$E,MATCH(B291,P1_PIG_BATCHES!$A:$A,0))-G291-H291,0)</f>
        <v/>
      </c>
      <c r="J291" t="n">
        <v>25</v>
      </c>
      <c r="K291" t="inlineStr">
        <is>
          <t>Dry</t>
        </is>
      </c>
      <c r="M291" t="inlineStr">
        <is>
          <t>S01</t>
        </is>
      </c>
    </row>
    <row r="292">
      <c r="A292" t="inlineStr">
        <is>
          <t>2025-11-20</t>
        </is>
      </c>
      <c r="B292" t="inlineStr">
        <is>
          <t>PIG-B03</t>
        </is>
      </c>
      <c r="C292" t="inlineStr">
        <is>
          <t>Pen 2</t>
        </is>
      </c>
      <c r="D292" t="inlineStr">
        <is>
          <t>Pig starter</t>
        </is>
      </c>
      <c r="E292" t="n">
        <v>13.9</v>
      </c>
      <c r="F292" t="n">
        <v>41.6</v>
      </c>
      <c r="G292" t="n">
        <v>0</v>
      </c>
      <c r="H292" t="n">
        <v>0</v>
      </c>
      <c r="I292">
        <f>IFERROR(INDEX(P1_PIG_BATCHES!$E:$E,MATCH(B292,P1_PIG_BATCHES!$A:$A,0))-G292-H292,0)</f>
        <v/>
      </c>
      <c r="J292" t="n">
        <v>24.4</v>
      </c>
      <c r="K292" t="inlineStr">
        <is>
          <t>Dry</t>
        </is>
      </c>
      <c r="M292" t="inlineStr">
        <is>
          <t>S01</t>
        </is>
      </c>
    </row>
    <row r="293">
      <c r="A293" t="inlineStr">
        <is>
          <t>2025-11-21</t>
        </is>
      </c>
      <c r="B293" t="inlineStr">
        <is>
          <t>PIG-B03</t>
        </is>
      </c>
      <c r="C293" t="inlineStr">
        <is>
          <t>Pen 2</t>
        </is>
      </c>
      <c r="D293" t="inlineStr">
        <is>
          <t>Pig starter</t>
        </is>
      </c>
      <c r="E293" t="n">
        <v>12.7</v>
      </c>
      <c r="F293" t="n">
        <v>31.2</v>
      </c>
      <c r="G293" t="n">
        <v>0</v>
      </c>
      <c r="H293" t="n">
        <v>0</v>
      </c>
      <c r="I293">
        <f>IFERROR(INDEX(P1_PIG_BATCHES!$E:$E,MATCH(B293,P1_PIG_BATCHES!$A:$A,0))-G293-H293,0)</f>
        <v/>
      </c>
      <c r="J293" t="n">
        <v>23.6</v>
      </c>
      <c r="K293" t="inlineStr">
        <is>
          <t>Dry</t>
        </is>
      </c>
      <c r="M293" t="inlineStr">
        <is>
          <t>S01</t>
        </is>
      </c>
    </row>
    <row r="294">
      <c r="A294" t="inlineStr">
        <is>
          <t>2025-11-22</t>
        </is>
      </c>
      <c r="B294" t="inlineStr">
        <is>
          <t>PIG-B03</t>
        </is>
      </c>
      <c r="C294" t="inlineStr">
        <is>
          <t>Pen 2</t>
        </is>
      </c>
      <c r="D294" t="inlineStr">
        <is>
          <t>Pig starter</t>
        </is>
      </c>
      <c r="E294" t="n">
        <v>14</v>
      </c>
      <c r="F294" t="n">
        <v>31</v>
      </c>
      <c r="G294" t="n">
        <v>0</v>
      </c>
      <c r="H294" t="n">
        <v>0</v>
      </c>
      <c r="I294">
        <f>IFERROR(INDEX(P1_PIG_BATCHES!$E:$E,MATCH(B294,P1_PIG_BATCHES!$A:$A,0))-G294-H294,0)</f>
        <v/>
      </c>
      <c r="J294" t="n">
        <v>21.4</v>
      </c>
      <c r="K294" t="inlineStr">
        <is>
          <t>Dry</t>
        </is>
      </c>
      <c r="M294" t="inlineStr">
        <is>
          <t>S01</t>
        </is>
      </c>
    </row>
    <row r="295">
      <c r="A295" t="inlineStr">
        <is>
          <t>2025-11-23</t>
        </is>
      </c>
      <c r="B295" t="inlineStr">
        <is>
          <t>PIG-B03</t>
        </is>
      </c>
      <c r="C295" t="inlineStr">
        <is>
          <t>Pen 2</t>
        </is>
      </c>
      <c r="D295" t="inlineStr">
        <is>
          <t>Pig starter</t>
        </is>
      </c>
      <c r="E295" t="n">
        <v>16.6</v>
      </c>
      <c r="F295" t="n">
        <v>43.2</v>
      </c>
      <c r="G295" t="n">
        <v>0</v>
      </c>
      <c r="H295" t="n">
        <v>0</v>
      </c>
      <c r="I295">
        <f>IFERROR(INDEX(P1_PIG_BATCHES!$E:$E,MATCH(B295,P1_PIG_BATCHES!$A:$A,0))-G295-H295,0)</f>
        <v/>
      </c>
      <c r="J295" t="n">
        <v>24</v>
      </c>
      <c r="K295" t="inlineStr">
        <is>
          <t>Dry</t>
        </is>
      </c>
      <c r="M295" t="inlineStr">
        <is>
          <t>S01</t>
        </is>
      </c>
    </row>
    <row r="296">
      <c r="A296" t="inlineStr">
        <is>
          <t>2025-11-24</t>
        </is>
      </c>
      <c r="B296" t="inlineStr">
        <is>
          <t>PIG-B03</t>
        </is>
      </c>
      <c r="C296" t="inlineStr">
        <is>
          <t>Pen 2</t>
        </is>
      </c>
      <c r="D296" t="inlineStr">
        <is>
          <t>Pig starter</t>
        </is>
      </c>
      <c r="E296" t="n">
        <v>15.1</v>
      </c>
      <c r="F296" t="n">
        <v>43.3</v>
      </c>
      <c r="G296" t="n">
        <v>0</v>
      </c>
      <c r="H296" t="n">
        <v>0</v>
      </c>
      <c r="I296">
        <f>IFERROR(INDEX(P1_PIG_BATCHES!$E:$E,MATCH(B296,P1_PIG_BATCHES!$A:$A,0))-G296-H296,0)</f>
        <v/>
      </c>
      <c r="J296" t="n">
        <v>23.9</v>
      </c>
      <c r="K296" t="inlineStr">
        <is>
          <t>Dry</t>
        </is>
      </c>
      <c r="M296" t="inlineStr">
        <is>
          <t>S01</t>
        </is>
      </c>
    </row>
    <row r="297">
      <c r="A297" t="inlineStr">
        <is>
          <t>2025-11-25</t>
        </is>
      </c>
      <c r="B297" t="inlineStr">
        <is>
          <t>PIG-B03</t>
        </is>
      </c>
      <c r="C297" t="inlineStr">
        <is>
          <t>Pen 2</t>
        </is>
      </c>
      <c r="D297" t="inlineStr">
        <is>
          <t>Pig starter</t>
        </is>
      </c>
      <c r="E297" t="n">
        <v>14.2</v>
      </c>
      <c r="F297" t="n">
        <v>39.8</v>
      </c>
      <c r="G297" t="n">
        <v>0</v>
      </c>
      <c r="H297" t="n">
        <v>0</v>
      </c>
      <c r="I297">
        <f>IFERROR(INDEX(P1_PIG_BATCHES!$E:$E,MATCH(B297,P1_PIG_BATCHES!$A:$A,0))-G297-H297,0)</f>
        <v/>
      </c>
      <c r="J297" t="n">
        <v>22.5</v>
      </c>
      <c r="K297" t="inlineStr">
        <is>
          <t>Dry</t>
        </is>
      </c>
      <c r="M297" t="inlineStr">
        <is>
          <t>S01</t>
        </is>
      </c>
    </row>
    <row r="298">
      <c r="A298" t="inlineStr">
        <is>
          <t>2025-11-26</t>
        </is>
      </c>
      <c r="B298" t="inlineStr">
        <is>
          <t>PIG-B03</t>
        </is>
      </c>
      <c r="C298" t="inlineStr">
        <is>
          <t>Pen 2</t>
        </is>
      </c>
      <c r="D298" t="inlineStr">
        <is>
          <t>Pig starter</t>
        </is>
      </c>
      <c r="E298" t="n">
        <v>16.6</v>
      </c>
      <c r="F298" t="n">
        <v>38.9</v>
      </c>
      <c r="G298" t="n">
        <v>0</v>
      </c>
      <c r="H298" t="n">
        <v>0</v>
      </c>
      <c r="I298">
        <f>IFERROR(INDEX(P1_PIG_BATCHES!$E:$E,MATCH(B298,P1_PIG_BATCHES!$A:$A,0))-G298-H298,0)</f>
        <v/>
      </c>
      <c r="J298" t="n">
        <v>23.7</v>
      </c>
      <c r="K298" t="inlineStr">
        <is>
          <t>Dry</t>
        </is>
      </c>
      <c r="M298" t="inlineStr">
        <is>
          <t>S01</t>
        </is>
      </c>
    </row>
    <row r="299">
      <c r="A299" t="inlineStr">
        <is>
          <t>2025-11-27</t>
        </is>
      </c>
      <c r="B299" t="inlineStr">
        <is>
          <t>PIG-B03</t>
        </is>
      </c>
      <c r="C299" t="inlineStr">
        <is>
          <t>Pen 2</t>
        </is>
      </c>
      <c r="D299" t="inlineStr">
        <is>
          <t>Pig starter</t>
        </is>
      </c>
      <c r="E299" t="n">
        <v>18.1</v>
      </c>
      <c r="F299" t="n">
        <v>47.8</v>
      </c>
      <c r="G299" t="n">
        <v>0</v>
      </c>
      <c r="H299" t="n">
        <v>0</v>
      </c>
      <c r="I299">
        <f>IFERROR(INDEX(P1_PIG_BATCHES!$E:$E,MATCH(B299,P1_PIG_BATCHES!$A:$A,0))-G299-H299,0)</f>
        <v/>
      </c>
      <c r="J299" t="n">
        <v>21.2</v>
      </c>
      <c r="K299" t="inlineStr">
        <is>
          <t>Dry</t>
        </is>
      </c>
      <c r="M299" t="inlineStr">
        <is>
          <t>S01</t>
        </is>
      </c>
    </row>
    <row r="300">
      <c r="A300" t="inlineStr">
        <is>
          <t>2025-11-28</t>
        </is>
      </c>
      <c r="B300" t="inlineStr">
        <is>
          <t>PIG-B03</t>
        </is>
      </c>
      <c r="C300" t="inlineStr">
        <is>
          <t>Pen 2</t>
        </is>
      </c>
      <c r="D300" t="inlineStr">
        <is>
          <t>Pig starter</t>
        </is>
      </c>
      <c r="E300" t="n">
        <v>18.6</v>
      </c>
      <c r="F300" t="n">
        <v>53.1</v>
      </c>
      <c r="G300" t="n">
        <v>0</v>
      </c>
      <c r="H300" t="n">
        <v>0</v>
      </c>
      <c r="I300">
        <f>IFERROR(INDEX(P1_PIG_BATCHES!$E:$E,MATCH(B300,P1_PIG_BATCHES!$A:$A,0))-G300-H300,0)</f>
        <v/>
      </c>
      <c r="J300" t="n">
        <v>23</v>
      </c>
      <c r="K300" t="inlineStr">
        <is>
          <t>Dry</t>
        </is>
      </c>
      <c r="M300" t="inlineStr">
        <is>
          <t>S01</t>
        </is>
      </c>
    </row>
    <row r="301">
      <c r="A301" t="inlineStr">
        <is>
          <t>2025-11-29</t>
        </is>
      </c>
      <c r="B301" t="inlineStr">
        <is>
          <t>PIG-B03</t>
        </is>
      </c>
      <c r="C301" t="inlineStr">
        <is>
          <t>Pen 2</t>
        </is>
      </c>
      <c r="D301" t="inlineStr">
        <is>
          <t>Pig starter</t>
        </is>
      </c>
      <c r="E301" t="n">
        <v>16</v>
      </c>
      <c r="F301" t="n">
        <v>44.3</v>
      </c>
      <c r="G301" t="n">
        <v>0</v>
      </c>
      <c r="H301" t="n">
        <v>0</v>
      </c>
      <c r="I301">
        <f>IFERROR(INDEX(P1_PIG_BATCHES!$E:$E,MATCH(B301,P1_PIG_BATCHES!$A:$A,0))-G301-H301,0)</f>
        <v/>
      </c>
      <c r="J301" t="n">
        <v>24.3</v>
      </c>
      <c r="K301" t="inlineStr">
        <is>
          <t>Dry</t>
        </is>
      </c>
      <c r="M301" t="inlineStr">
        <is>
          <t>S01</t>
        </is>
      </c>
    </row>
    <row r="302">
      <c r="A302" t="inlineStr">
        <is>
          <t>2025-11-30</t>
        </is>
      </c>
      <c r="B302" t="inlineStr">
        <is>
          <t>PIG-B03</t>
        </is>
      </c>
      <c r="C302" t="inlineStr">
        <is>
          <t>Pen 2</t>
        </is>
      </c>
      <c r="D302" t="inlineStr">
        <is>
          <t>Pig starter</t>
        </is>
      </c>
      <c r="E302" t="n">
        <v>16.7</v>
      </c>
      <c r="F302" t="n">
        <v>47.7</v>
      </c>
      <c r="G302" t="n">
        <v>0</v>
      </c>
      <c r="H302" t="n">
        <v>0</v>
      </c>
      <c r="I302">
        <f>IFERROR(INDEX(P1_PIG_BATCHES!$E:$E,MATCH(B302,P1_PIG_BATCHES!$A:$A,0))-G302-H302,0)</f>
        <v/>
      </c>
      <c r="J302" t="n">
        <v>25.8</v>
      </c>
      <c r="K302" t="inlineStr">
        <is>
          <t>Dry</t>
        </is>
      </c>
      <c r="M302" t="inlineStr">
        <is>
          <t>S01</t>
        </is>
      </c>
    </row>
    <row r="303">
      <c r="A303" t="inlineStr">
        <is>
          <t>2025-12-01</t>
        </is>
      </c>
      <c r="B303" t="inlineStr">
        <is>
          <t>PIG-B03</t>
        </is>
      </c>
      <c r="C303" t="inlineStr">
        <is>
          <t>Pen 2</t>
        </is>
      </c>
      <c r="D303" t="inlineStr">
        <is>
          <t>Pig starter</t>
        </is>
      </c>
      <c r="E303" t="n">
        <v>21.3</v>
      </c>
      <c r="F303" t="n">
        <v>54.5</v>
      </c>
      <c r="G303" t="n">
        <v>0</v>
      </c>
      <c r="H303" t="n">
        <v>0</v>
      </c>
      <c r="I303">
        <f>IFERROR(INDEX(P1_PIG_BATCHES!$E:$E,MATCH(B303,P1_PIG_BATCHES!$A:$A,0))-G303-H303,0)</f>
        <v/>
      </c>
      <c r="J303" t="n">
        <v>22.9</v>
      </c>
      <c r="K303" t="inlineStr">
        <is>
          <t>Dry</t>
        </is>
      </c>
      <c r="M303" t="inlineStr">
        <is>
          <t>S01</t>
        </is>
      </c>
    </row>
    <row r="304">
      <c r="A304" t="inlineStr">
        <is>
          <t>2025-12-02</t>
        </is>
      </c>
      <c r="B304" t="inlineStr">
        <is>
          <t>PIG-B03</t>
        </is>
      </c>
      <c r="C304" t="inlineStr">
        <is>
          <t>Pen 2</t>
        </is>
      </c>
      <c r="D304" t="inlineStr">
        <is>
          <t>Pig starter</t>
        </is>
      </c>
      <c r="E304" t="n">
        <v>19.2</v>
      </c>
      <c r="F304" t="n">
        <v>57.3</v>
      </c>
      <c r="G304" t="n">
        <v>0</v>
      </c>
      <c r="H304" t="n">
        <v>0</v>
      </c>
      <c r="I304">
        <f>IFERROR(INDEX(P1_PIG_BATCHES!$E:$E,MATCH(B304,P1_PIG_BATCHES!$A:$A,0))-G304-H304,0)</f>
        <v/>
      </c>
      <c r="J304" t="n">
        <v>26</v>
      </c>
      <c r="K304" t="inlineStr">
        <is>
          <t>Dry</t>
        </is>
      </c>
      <c r="M304" t="inlineStr">
        <is>
          <t>S01</t>
        </is>
      </c>
    </row>
    <row r="305">
      <c r="A305" t="inlineStr">
        <is>
          <t>2025-12-03</t>
        </is>
      </c>
      <c r="B305" t="inlineStr">
        <is>
          <t>PIG-B03</t>
        </is>
      </c>
      <c r="C305" t="inlineStr">
        <is>
          <t>Pen 2</t>
        </is>
      </c>
      <c r="D305" t="inlineStr">
        <is>
          <t>Pig starter</t>
        </is>
      </c>
      <c r="E305" t="n">
        <v>21.5</v>
      </c>
      <c r="F305" t="n">
        <v>57.4</v>
      </c>
      <c r="G305" t="n">
        <v>0</v>
      </c>
      <c r="H305" t="n">
        <v>0</v>
      </c>
      <c r="I305">
        <f>IFERROR(INDEX(P1_PIG_BATCHES!$E:$E,MATCH(B305,P1_PIG_BATCHES!$A:$A,0))-G305-H305,0)</f>
        <v/>
      </c>
      <c r="J305" t="n">
        <v>22.9</v>
      </c>
      <c r="K305" t="inlineStr">
        <is>
          <t>Dry</t>
        </is>
      </c>
      <c r="M305" t="inlineStr">
        <is>
          <t>S01</t>
        </is>
      </c>
    </row>
    <row r="306">
      <c r="A306" t="inlineStr">
        <is>
          <t>2025-12-04</t>
        </is>
      </c>
      <c r="B306" t="inlineStr">
        <is>
          <t>PIG-B03</t>
        </is>
      </c>
      <c r="C306" t="inlineStr">
        <is>
          <t>Pen 2</t>
        </is>
      </c>
      <c r="D306" t="inlineStr">
        <is>
          <t>Pig starter</t>
        </is>
      </c>
      <c r="E306" t="n">
        <v>21.1</v>
      </c>
      <c r="F306" t="n">
        <v>49.4</v>
      </c>
      <c r="G306" t="n">
        <v>0</v>
      </c>
      <c r="H306" t="n">
        <v>0</v>
      </c>
      <c r="I306">
        <f>IFERROR(INDEX(P1_PIG_BATCHES!$E:$E,MATCH(B306,P1_PIG_BATCHES!$A:$A,0))-G306-H306,0)</f>
        <v/>
      </c>
      <c r="J306" t="n">
        <v>21.4</v>
      </c>
      <c r="K306" t="inlineStr">
        <is>
          <t>Dry</t>
        </is>
      </c>
      <c r="M306" t="inlineStr">
        <is>
          <t>S01</t>
        </is>
      </c>
    </row>
    <row r="307">
      <c r="A307" t="inlineStr">
        <is>
          <t>2025-12-05</t>
        </is>
      </c>
      <c r="B307" t="inlineStr">
        <is>
          <t>PIG-B03</t>
        </is>
      </c>
      <c r="C307" t="inlineStr">
        <is>
          <t>Pen 2</t>
        </is>
      </c>
      <c r="D307" t="inlineStr">
        <is>
          <t>Pig starter</t>
        </is>
      </c>
      <c r="E307" t="n">
        <v>19.5</v>
      </c>
      <c r="F307" t="n">
        <v>44</v>
      </c>
      <c r="G307" t="n">
        <v>0</v>
      </c>
      <c r="H307" t="n">
        <v>0</v>
      </c>
      <c r="I307">
        <f>IFERROR(INDEX(P1_PIG_BATCHES!$E:$E,MATCH(B307,P1_PIG_BATCHES!$A:$A,0))-G307-H307,0)</f>
        <v/>
      </c>
      <c r="J307" t="n">
        <v>22.9</v>
      </c>
      <c r="K307" t="inlineStr">
        <is>
          <t>Dry</t>
        </is>
      </c>
      <c r="M307" t="inlineStr">
        <is>
          <t>S01</t>
        </is>
      </c>
    </row>
    <row r="308">
      <c r="A308" t="inlineStr">
        <is>
          <t>2025-12-06</t>
        </is>
      </c>
      <c r="B308" t="inlineStr">
        <is>
          <t>PIG-B03</t>
        </is>
      </c>
      <c r="C308" t="inlineStr">
        <is>
          <t>Pen 2</t>
        </is>
      </c>
      <c r="D308" t="inlineStr">
        <is>
          <t>Pig starter</t>
        </is>
      </c>
      <c r="E308" t="n">
        <v>21.7</v>
      </c>
      <c r="F308" t="n">
        <v>53.4</v>
      </c>
      <c r="G308" t="n">
        <v>0</v>
      </c>
      <c r="H308" t="n">
        <v>0</v>
      </c>
      <c r="I308">
        <f>IFERROR(INDEX(P1_PIG_BATCHES!$E:$E,MATCH(B308,P1_PIG_BATCHES!$A:$A,0))-G308-H308,0)</f>
        <v/>
      </c>
      <c r="J308" t="n">
        <v>25.5</v>
      </c>
      <c r="K308" t="inlineStr">
        <is>
          <t>Dry</t>
        </is>
      </c>
      <c r="M308" t="inlineStr">
        <is>
          <t>S01</t>
        </is>
      </c>
    </row>
    <row r="309">
      <c r="A309" t="inlineStr">
        <is>
          <t>2025-12-07</t>
        </is>
      </c>
      <c r="B309" t="inlineStr">
        <is>
          <t>PIG-B03</t>
        </is>
      </c>
      <c r="C309" t="inlineStr">
        <is>
          <t>Pen 2</t>
        </is>
      </c>
      <c r="D309" t="inlineStr">
        <is>
          <t>Pig starter</t>
        </is>
      </c>
      <c r="E309" t="n">
        <v>20.8</v>
      </c>
      <c r="F309" t="n">
        <v>59.9</v>
      </c>
      <c r="G309" t="n">
        <v>0</v>
      </c>
      <c r="H309" t="n">
        <v>0</v>
      </c>
      <c r="I309">
        <f>IFERROR(INDEX(P1_PIG_BATCHES!$E:$E,MATCH(B309,P1_PIG_BATCHES!$A:$A,0))-G309-H309,0)</f>
        <v/>
      </c>
      <c r="J309" t="n">
        <v>27.5</v>
      </c>
      <c r="K309" t="inlineStr">
        <is>
          <t>Dry</t>
        </is>
      </c>
      <c r="M309" t="inlineStr">
        <is>
          <t>S01</t>
        </is>
      </c>
    </row>
    <row r="310">
      <c r="A310" t="inlineStr">
        <is>
          <t>2025-12-08</t>
        </is>
      </c>
      <c r="B310" t="inlineStr">
        <is>
          <t>PIG-B03</t>
        </is>
      </c>
      <c r="C310" t="inlineStr">
        <is>
          <t>Pen 2</t>
        </is>
      </c>
      <c r="D310" t="inlineStr">
        <is>
          <t>Pig starter</t>
        </is>
      </c>
      <c r="E310" t="n">
        <v>20.3</v>
      </c>
      <c r="F310" t="n">
        <v>60.1</v>
      </c>
      <c r="G310" t="n">
        <v>0</v>
      </c>
      <c r="H310" t="n">
        <v>0</v>
      </c>
      <c r="I310">
        <f>IFERROR(INDEX(P1_PIG_BATCHES!$E:$E,MATCH(B310,P1_PIG_BATCHES!$A:$A,0))-G310-H310,0)</f>
        <v/>
      </c>
      <c r="J310" t="n">
        <v>26.1</v>
      </c>
      <c r="K310" t="inlineStr">
        <is>
          <t>Dry</t>
        </is>
      </c>
      <c r="M310" t="inlineStr">
        <is>
          <t>S01</t>
        </is>
      </c>
    </row>
    <row r="311">
      <c r="A311" t="inlineStr">
        <is>
          <t>2025-12-09</t>
        </is>
      </c>
      <c r="B311" t="inlineStr">
        <is>
          <t>PIG-B03</t>
        </is>
      </c>
      <c r="C311" t="inlineStr">
        <is>
          <t>Pen 2</t>
        </is>
      </c>
      <c r="D311" t="inlineStr">
        <is>
          <t>Pig starter</t>
        </is>
      </c>
      <c r="E311" t="n">
        <v>25.7</v>
      </c>
      <c r="F311" t="n">
        <v>74.2</v>
      </c>
      <c r="G311" t="n">
        <v>0</v>
      </c>
      <c r="H311" t="n">
        <v>0</v>
      </c>
      <c r="I311">
        <f>IFERROR(INDEX(P1_PIG_BATCHES!$E:$E,MATCH(B311,P1_PIG_BATCHES!$A:$A,0))-G311-H311,0)</f>
        <v/>
      </c>
      <c r="J311" t="n">
        <v>21.3</v>
      </c>
      <c r="K311" t="inlineStr">
        <is>
          <t>Dry</t>
        </is>
      </c>
      <c r="M311" t="inlineStr">
        <is>
          <t>S01</t>
        </is>
      </c>
    </row>
    <row r="312">
      <c r="A312" t="inlineStr">
        <is>
          <t>2025-12-10</t>
        </is>
      </c>
      <c r="B312" t="inlineStr">
        <is>
          <t>PIG-B03</t>
        </is>
      </c>
      <c r="C312" t="inlineStr">
        <is>
          <t>Pen 2</t>
        </is>
      </c>
      <c r="D312" t="inlineStr">
        <is>
          <t>Pig grower</t>
        </is>
      </c>
      <c r="E312" t="n">
        <v>22.1</v>
      </c>
      <c r="F312" t="n">
        <v>61.1</v>
      </c>
      <c r="G312" t="n">
        <v>0</v>
      </c>
      <c r="H312" t="n">
        <v>0</v>
      </c>
      <c r="I312">
        <f>IFERROR(INDEX(P1_PIG_BATCHES!$E:$E,MATCH(B312,P1_PIG_BATCHES!$A:$A,0))-G312-H312,0)</f>
        <v/>
      </c>
      <c r="J312" t="n">
        <v>26.4</v>
      </c>
      <c r="K312" t="inlineStr">
        <is>
          <t>Dry</t>
        </is>
      </c>
      <c r="M312" t="inlineStr">
        <is>
          <t>S01</t>
        </is>
      </c>
    </row>
    <row r="313">
      <c r="A313" t="inlineStr">
        <is>
          <t>2025-12-11</t>
        </is>
      </c>
      <c r="B313" t="inlineStr">
        <is>
          <t>PIG-B03</t>
        </is>
      </c>
      <c r="C313" t="inlineStr">
        <is>
          <t>Pen 2</t>
        </is>
      </c>
      <c r="D313" t="inlineStr">
        <is>
          <t>Pig grower</t>
        </is>
      </c>
      <c r="E313" t="n">
        <v>25</v>
      </c>
      <c r="F313" t="n">
        <v>64.8</v>
      </c>
      <c r="G313" t="n">
        <v>0</v>
      </c>
      <c r="H313" t="n">
        <v>0</v>
      </c>
      <c r="I313">
        <f>IFERROR(INDEX(P1_PIG_BATCHES!$E:$E,MATCH(B313,P1_PIG_BATCHES!$A:$A,0))-G313-H313,0)</f>
        <v/>
      </c>
      <c r="J313" t="n">
        <v>24.6</v>
      </c>
      <c r="K313" t="inlineStr">
        <is>
          <t>Dry</t>
        </is>
      </c>
      <c r="M313" t="inlineStr">
        <is>
          <t>S01</t>
        </is>
      </c>
    </row>
    <row r="314">
      <c r="A314" t="inlineStr">
        <is>
          <t>2025-12-12</t>
        </is>
      </c>
      <c r="B314" t="inlineStr">
        <is>
          <t>PIG-B03</t>
        </is>
      </c>
      <c r="C314" t="inlineStr">
        <is>
          <t>Pen 2</t>
        </is>
      </c>
      <c r="D314" t="inlineStr">
        <is>
          <t>Pig grower</t>
        </is>
      </c>
      <c r="E314" t="n">
        <v>24</v>
      </c>
      <c r="F314" t="n">
        <v>61.5</v>
      </c>
      <c r="G314" t="n">
        <v>0</v>
      </c>
      <c r="H314" t="n">
        <v>0</v>
      </c>
      <c r="I314">
        <f>IFERROR(INDEX(P1_PIG_BATCHES!$E:$E,MATCH(B314,P1_PIG_BATCHES!$A:$A,0))-G314-H314,0)</f>
        <v/>
      </c>
      <c r="J314" t="n">
        <v>25</v>
      </c>
      <c r="K314" t="inlineStr">
        <is>
          <t>Dry</t>
        </is>
      </c>
      <c r="M314" t="inlineStr">
        <is>
          <t>S01</t>
        </is>
      </c>
    </row>
    <row r="315">
      <c r="A315" t="inlineStr">
        <is>
          <t>2025-12-13</t>
        </is>
      </c>
      <c r="B315" t="inlineStr">
        <is>
          <t>PIG-B03</t>
        </is>
      </c>
      <c r="C315" t="inlineStr">
        <is>
          <t>Pen 2</t>
        </is>
      </c>
      <c r="D315" t="inlineStr">
        <is>
          <t>Pig grower</t>
        </is>
      </c>
      <c r="E315" t="n">
        <v>22.6</v>
      </c>
      <c r="F315" t="n">
        <v>59</v>
      </c>
      <c r="G315" t="n">
        <v>0</v>
      </c>
      <c r="H315" t="n">
        <v>0</v>
      </c>
      <c r="I315">
        <f>IFERROR(INDEX(P1_PIG_BATCHES!$E:$E,MATCH(B315,P1_PIG_BATCHES!$A:$A,0))-G315-H315,0)</f>
        <v/>
      </c>
      <c r="J315" t="n">
        <v>22.4</v>
      </c>
      <c r="K315" t="inlineStr">
        <is>
          <t>Dry</t>
        </is>
      </c>
      <c r="M315" t="inlineStr">
        <is>
          <t>S01</t>
        </is>
      </c>
    </row>
    <row r="316">
      <c r="A316" t="inlineStr">
        <is>
          <t>2025-12-14</t>
        </is>
      </c>
      <c r="B316" t="inlineStr">
        <is>
          <t>PIG-B03</t>
        </is>
      </c>
      <c r="C316" t="inlineStr">
        <is>
          <t>Pen 2</t>
        </is>
      </c>
      <c r="D316" t="inlineStr">
        <is>
          <t>Pig grower</t>
        </is>
      </c>
      <c r="E316" t="n">
        <v>24.7</v>
      </c>
      <c r="F316" t="n">
        <v>72.90000000000001</v>
      </c>
      <c r="G316" t="n">
        <v>0</v>
      </c>
      <c r="H316" t="n">
        <v>0</v>
      </c>
      <c r="I316">
        <f>IFERROR(INDEX(P1_PIG_BATCHES!$E:$E,MATCH(B316,P1_PIG_BATCHES!$A:$A,0))-G316-H316,0)</f>
        <v/>
      </c>
      <c r="J316" t="n">
        <v>22.8</v>
      </c>
      <c r="K316" t="inlineStr">
        <is>
          <t>Dry</t>
        </is>
      </c>
      <c r="M316" t="inlineStr">
        <is>
          <t>S01</t>
        </is>
      </c>
    </row>
    <row r="317">
      <c r="A317" t="inlineStr">
        <is>
          <t>2025-12-15</t>
        </is>
      </c>
      <c r="B317" t="inlineStr">
        <is>
          <t>PIG-B03</t>
        </is>
      </c>
      <c r="C317" t="inlineStr">
        <is>
          <t>Pen 2</t>
        </is>
      </c>
      <c r="D317" t="inlineStr">
        <is>
          <t>Pig grower</t>
        </is>
      </c>
      <c r="E317" t="n">
        <v>26.6</v>
      </c>
      <c r="F317" t="n">
        <v>74</v>
      </c>
      <c r="G317" t="n">
        <v>1</v>
      </c>
      <c r="H317" t="n">
        <v>0</v>
      </c>
      <c r="I317">
        <f>IFERROR(INDEX(P1_PIG_BATCHES!$E:$E,MATCH(B317,P1_PIG_BATCHES!$A:$A,0))-G317-H317,0)</f>
        <v/>
      </c>
      <c r="J317" t="n">
        <v>25.7</v>
      </c>
      <c r="K317" t="inlineStr">
        <is>
          <t>Dry</t>
        </is>
      </c>
      <c r="M317" t="inlineStr">
        <is>
          <t>S01</t>
        </is>
      </c>
    </row>
    <row r="318">
      <c r="A318" t="inlineStr">
        <is>
          <t>2025-12-16</t>
        </is>
      </c>
      <c r="B318" t="inlineStr">
        <is>
          <t>PIG-B03</t>
        </is>
      </c>
      <c r="C318" t="inlineStr">
        <is>
          <t>Pen 2</t>
        </is>
      </c>
      <c r="D318" t="inlineStr">
        <is>
          <t>Pig grower</t>
        </is>
      </c>
      <c r="E318" t="n">
        <v>26.4</v>
      </c>
      <c r="F318" t="n">
        <v>65.7</v>
      </c>
      <c r="G318" t="n">
        <v>0</v>
      </c>
      <c r="H318" t="n">
        <v>0</v>
      </c>
      <c r="I318">
        <f>IFERROR(INDEX(P1_PIG_BATCHES!$E:$E,MATCH(B318,P1_PIG_BATCHES!$A:$A,0))-G318-H318,0)</f>
        <v/>
      </c>
      <c r="J318" t="n">
        <v>20.9</v>
      </c>
      <c r="K318" t="inlineStr">
        <is>
          <t>Dry</t>
        </is>
      </c>
      <c r="M318" t="inlineStr">
        <is>
          <t>S01</t>
        </is>
      </c>
    </row>
    <row r="319">
      <c r="A319" t="inlineStr">
        <is>
          <t>2025-12-17</t>
        </is>
      </c>
      <c r="B319" t="inlineStr">
        <is>
          <t>PIG-B03</t>
        </is>
      </c>
      <c r="C319" t="inlineStr">
        <is>
          <t>Pen 2</t>
        </is>
      </c>
      <c r="D319" t="inlineStr">
        <is>
          <t>Pig grower</t>
        </is>
      </c>
      <c r="E319" t="n">
        <v>24.2</v>
      </c>
      <c r="F319" t="n">
        <v>61.6</v>
      </c>
      <c r="G319" t="n">
        <v>0</v>
      </c>
      <c r="H319" t="n">
        <v>0</v>
      </c>
      <c r="I319">
        <f>IFERROR(INDEX(P1_PIG_BATCHES!$E:$E,MATCH(B319,P1_PIG_BATCHES!$A:$A,0))-G319-H319,0)</f>
        <v/>
      </c>
      <c r="J319" t="n">
        <v>21.9</v>
      </c>
      <c r="K319" t="inlineStr">
        <is>
          <t>Dry</t>
        </is>
      </c>
      <c r="M319" t="inlineStr">
        <is>
          <t>S01</t>
        </is>
      </c>
    </row>
    <row r="320">
      <c r="A320" t="inlineStr">
        <is>
          <t>2025-12-18</t>
        </is>
      </c>
      <c r="B320" t="inlineStr">
        <is>
          <t>PIG-B03</t>
        </is>
      </c>
      <c r="C320" t="inlineStr">
        <is>
          <t>Pen 2</t>
        </is>
      </c>
      <c r="D320" t="inlineStr">
        <is>
          <t>Pig grower</t>
        </is>
      </c>
      <c r="E320" t="n">
        <v>28.5</v>
      </c>
      <c r="F320" t="n">
        <v>70.5</v>
      </c>
      <c r="G320" t="n">
        <v>0</v>
      </c>
      <c r="H320" t="n">
        <v>0</v>
      </c>
      <c r="I320">
        <f>IFERROR(INDEX(P1_PIG_BATCHES!$E:$E,MATCH(B320,P1_PIG_BATCHES!$A:$A,0))-G320-H320,0)</f>
        <v/>
      </c>
      <c r="J320" t="n">
        <v>24.6</v>
      </c>
      <c r="K320" t="inlineStr">
        <is>
          <t>Dry</t>
        </is>
      </c>
      <c r="M320" t="inlineStr">
        <is>
          <t>S01</t>
        </is>
      </c>
    </row>
    <row r="321">
      <c r="A321" t="inlineStr">
        <is>
          <t>2025-12-19</t>
        </is>
      </c>
      <c r="B321" t="inlineStr">
        <is>
          <t>PIG-B03</t>
        </is>
      </c>
      <c r="C321" t="inlineStr">
        <is>
          <t>Pen 2</t>
        </is>
      </c>
      <c r="D321" t="inlineStr">
        <is>
          <t>Pig grower</t>
        </is>
      </c>
      <c r="E321" t="n">
        <v>26.8</v>
      </c>
      <c r="F321" t="n">
        <v>66.40000000000001</v>
      </c>
      <c r="G321" t="n">
        <v>0</v>
      </c>
      <c r="H321" t="n">
        <v>0</v>
      </c>
      <c r="I321">
        <f>IFERROR(INDEX(P1_PIG_BATCHES!$E:$E,MATCH(B321,P1_PIG_BATCHES!$A:$A,0))-G321-H321,0)</f>
        <v/>
      </c>
      <c r="J321" t="n">
        <v>25.3</v>
      </c>
      <c r="K321" t="inlineStr">
        <is>
          <t>Dry</t>
        </is>
      </c>
      <c r="M321" t="inlineStr">
        <is>
          <t>S01</t>
        </is>
      </c>
    </row>
    <row r="322">
      <c r="A322" t="inlineStr">
        <is>
          <t>2025-12-20</t>
        </is>
      </c>
      <c r="B322" t="inlineStr">
        <is>
          <t>PIG-B03</t>
        </is>
      </c>
      <c r="C322" t="inlineStr">
        <is>
          <t>Pen 2</t>
        </is>
      </c>
      <c r="D322" t="inlineStr">
        <is>
          <t>Pig grower</t>
        </is>
      </c>
      <c r="E322" t="n">
        <v>24.7</v>
      </c>
      <c r="F322" t="n">
        <v>69.7</v>
      </c>
      <c r="G322" t="n">
        <v>0</v>
      </c>
      <c r="H322" t="n">
        <v>0</v>
      </c>
      <c r="I322">
        <f>IFERROR(INDEX(P1_PIG_BATCHES!$E:$E,MATCH(B322,P1_PIG_BATCHES!$A:$A,0))-G322-H322,0)</f>
        <v/>
      </c>
      <c r="J322" t="n">
        <v>23.7</v>
      </c>
      <c r="K322" t="inlineStr">
        <is>
          <t>Dry</t>
        </is>
      </c>
      <c r="M322" t="inlineStr">
        <is>
          <t>S01</t>
        </is>
      </c>
    </row>
    <row r="323">
      <c r="A323" t="inlineStr">
        <is>
          <t>2025-12-21</t>
        </is>
      </c>
      <c r="B323" t="inlineStr">
        <is>
          <t>PIG-B03</t>
        </is>
      </c>
      <c r="C323" t="inlineStr">
        <is>
          <t>Pen 2</t>
        </is>
      </c>
      <c r="D323" t="inlineStr">
        <is>
          <t>Pig grower</t>
        </is>
      </c>
      <c r="E323" t="n">
        <v>30.2</v>
      </c>
      <c r="F323" t="n">
        <v>77.09999999999999</v>
      </c>
      <c r="G323" t="n">
        <v>0</v>
      </c>
      <c r="H323" t="n">
        <v>0</v>
      </c>
      <c r="I323">
        <f>IFERROR(INDEX(P1_PIG_BATCHES!$E:$E,MATCH(B323,P1_PIG_BATCHES!$A:$A,0))-G323-H323,0)</f>
        <v/>
      </c>
      <c r="J323" t="n">
        <v>20.4</v>
      </c>
      <c r="K323" t="inlineStr">
        <is>
          <t>Dry</t>
        </is>
      </c>
      <c r="M323" t="inlineStr">
        <is>
          <t>S01</t>
        </is>
      </c>
    </row>
    <row r="324">
      <c r="A324" t="inlineStr">
        <is>
          <t>2025-12-22</t>
        </is>
      </c>
      <c r="B324" t="inlineStr">
        <is>
          <t>PIG-B03</t>
        </is>
      </c>
      <c r="C324" t="inlineStr">
        <is>
          <t>Pen 2</t>
        </is>
      </c>
      <c r="D324" t="inlineStr">
        <is>
          <t>Pig grower</t>
        </is>
      </c>
      <c r="E324" t="n">
        <v>26.3</v>
      </c>
      <c r="F324" t="n">
        <v>72.2</v>
      </c>
      <c r="G324" t="n">
        <v>0</v>
      </c>
      <c r="H324" t="n">
        <v>0</v>
      </c>
      <c r="I324">
        <f>IFERROR(INDEX(P1_PIG_BATCHES!$E:$E,MATCH(B324,P1_PIG_BATCHES!$A:$A,0))-G324-H324,0)</f>
        <v/>
      </c>
      <c r="J324" t="n">
        <v>21.3</v>
      </c>
      <c r="K324" t="inlineStr">
        <is>
          <t>Dry</t>
        </is>
      </c>
      <c r="M324" t="inlineStr">
        <is>
          <t>S01</t>
        </is>
      </c>
    </row>
    <row r="325">
      <c r="A325" t="inlineStr">
        <is>
          <t>2025-12-23</t>
        </is>
      </c>
      <c r="B325" t="inlineStr">
        <is>
          <t>PIG-B03</t>
        </is>
      </c>
      <c r="C325" t="inlineStr">
        <is>
          <t>Pen 2</t>
        </is>
      </c>
      <c r="D325" t="inlineStr">
        <is>
          <t>Pig grower</t>
        </is>
      </c>
      <c r="E325" t="n">
        <v>26.5</v>
      </c>
      <c r="F325" t="n">
        <v>77.8</v>
      </c>
      <c r="G325" t="n">
        <v>0</v>
      </c>
      <c r="H325" t="n">
        <v>0</v>
      </c>
      <c r="I325">
        <f>IFERROR(INDEX(P1_PIG_BATCHES!$E:$E,MATCH(B325,P1_PIG_BATCHES!$A:$A,0))-G325-H325,0)</f>
        <v/>
      </c>
      <c r="J325" t="n">
        <v>22.4</v>
      </c>
      <c r="K325" t="inlineStr">
        <is>
          <t>Dry</t>
        </is>
      </c>
      <c r="M325" t="inlineStr">
        <is>
          <t>S01</t>
        </is>
      </c>
    </row>
    <row r="326">
      <c r="A326" t="inlineStr">
        <is>
          <t>2025-12-24</t>
        </is>
      </c>
      <c r="B326" t="inlineStr">
        <is>
          <t>PIG-B03</t>
        </is>
      </c>
      <c r="C326" t="inlineStr">
        <is>
          <t>Pen 2</t>
        </is>
      </c>
      <c r="D326" t="inlineStr">
        <is>
          <t>Pig grower</t>
        </is>
      </c>
      <c r="E326" t="n">
        <v>27.5</v>
      </c>
      <c r="F326" t="n">
        <v>68.8</v>
      </c>
      <c r="G326" t="n">
        <v>0</v>
      </c>
      <c r="H326" t="n">
        <v>0</v>
      </c>
      <c r="I326">
        <f>IFERROR(INDEX(P1_PIG_BATCHES!$E:$E,MATCH(B326,P1_PIG_BATCHES!$A:$A,0))-G326-H326,0)</f>
        <v/>
      </c>
      <c r="J326" t="n">
        <v>26.9</v>
      </c>
      <c r="K326" t="inlineStr">
        <is>
          <t>Dry</t>
        </is>
      </c>
      <c r="M326" t="inlineStr">
        <is>
          <t>S01</t>
        </is>
      </c>
    </row>
    <row r="327">
      <c r="A327" t="inlineStr">
        <is>
          <t>2025-12-25</t>
        </is>
      </c>
      <c r="B327" t="inlineStr">
        <is>
          <t>PIG-B03</t>
        </is>
      </c>
      <c r="C327" t="inlineStr">
        <is>
          <t>Pen 2</t>
        </is>
      </c>
      <c r="D327" t="inlineStr">
        <is>
          <t>Pig grower</t>
        </is>
      </c>
      <c r="E327" t="n">
        <v>29</v>
      </c>
      <c r="F327" t="n">
        <v>71</v>
      </c>
      <c r="G327" t="n">
        <v>0</v>
      </c>
      <c r="H327" t="n">
        <v>0</v>
      </c>
      <c r="I327">
        <f>IFERROR(INDEX(P1_PIG_BATCHES!$E:$E,MATCH(B327,P1_PIG_BATCHES!$A:$A,0))-G327-H327,0)</f>
        <v/>
      </c>
      <c r="J327" t="n">
        <v>25.4</v>
      </c>
      <c r="K327" t="inlineStr">
        <is>
          <t>Dry</t>
        </is>
      </c>
      <c r="M327" t="inlineStr">
        <is>
          <t>S01</t>
        </is>
      </c>
    </row>
    <row r="328">
      <c r="A328" t="inlineStr">
        <is>
          <t>2025-12-26</t>
        </is>
      </c>
      <c r="B328" t="inlineStr">
        <is>
          <t>PIG-B03</t>
        </is>
      </c>
      <c r="C328" t="inlineStr">
        <is>
          <t>Pen 2</t>
        </is>
      </c>
      <c r="D328" t="inlineStr">
        <is>
          <t>Pig grower</t>
        </is>
      </c>
      <c r="E328" t="n">
        <v>31.4</v>
      </c>
      <c r="F328" t="n">
        <v>86.59999999999999</v>
      </c>
      <c r="G328" t="n">
        <v>0</v>
      </c>
      <c r="H328" t="n">
        <v>0</v>
      </c>
      <c r="I328">
        <f>IFERROR(INDEX(P1_PIG_BATCHES!$E:$E,MATCH(B328,P1_PIG_BATCHES!$A:$A,0))-G328-H328,0)</f>
        <v/>
      </c>
      <c r="J328" t="n">
        <v>20.4</v>
      </c>
      <c r="K328" t="inlineStr">
        <is>
          <t>Dry</t>
        </is>
      </c>
      <c r="M328" t="inlineStr">
        <is>
          <t>S01</t>
        </is>
      </c>
    </row>
    <row r="329">
      <c r="A329" t="inlineStr">
        <is>
          <t>2025-12-27</t>
        </is>
      </c>
      <c r="B329" t="inlineStr">
        <is>
          <t>PIG-B03</t>
        </is>
      </c>
      <c r="C329" t="inlineStr">
        <is>
          <t>Pen 2</t>
        </is>
      </c>
      <c r="D329" t="inlineStr">
        <is>
          <t>Pig grower</t>
        </is>
      </c>
      <c r="E329" t="n">
        <v>28</v>
      </c>
      <c r="F329" t="n">
        <v>66.8</v>
      </c>
      <c r="G329" t="n">
        <v>0</v>
      </c>
      <c r="H329" t="n">
        <v>0</v>
      </c>
      <c r="I329">
        <f>IFERROR(INDEX(P1_PIG_BATCHES!$E:$E,MATCH(B329,P1_PIG_BATCHES!$A:$A,0))-G329-H329,0)</f>
        <v/>
      </c>
      <c r="J329" t="n">
        <v>25.3</v>
      </c>
      <c r="K329" t="inlineStr">
        <is>
          <t>Dry</t>
        </is>
      </c>
      <c r="M329" t="inlineStr">
        <is>
          <t>S01</t>
        </is>
      </c>
    </row>
    <row r="330">
      <c r="A330" t="inlineStr">
        <is>
          <t>2025-12-28</t>
        </is>
      </c>
      <c r="B330" t="inlineStr">
        <is>
          <t>PIG-B03</t>
        </is>
      </c>
      <c r="C330" t="inlineStr">
        <is>
          <t>Pen 2</t>
        </is>
      </c>
      <c r="D330" t="inlineStr">
        <is>
          <t>Pig grower</t>
        </is>
      </c>
      <c r="E330" t="n">
        <v>32.7</v>
      </c>
      <c r="F330" t="n">
        <v>93.09999999999999</v>
      </c>
      <c r="G330" t="n">
        <v>0</v>
      </c>
      <c r="H330" t="n">
        <v>0</v>
      </c>
      <c r="I330">
        <f>IFERROR(INDEX(P1_PIG_BATCHES!$E:$E,MATCH(B330,P1_PIG_BATCHES!$A:$A,0))-G330-H330,0)</f>
        <v/>
      </c>
      <c r="J330" t="n">
        <v>27.5</v>
      </c>
      <c r="K330" t="inlineStr">
        <is>
          <t>Dry</t>
        </is>
      </c>
      <c r="M330" t="inlineStr">
        <is>
          <t>S01</t>
        </is>
      </c>
    </row>
    <row r="331">
      <c r="A331" t="inlineStr">
        <is>
          <t>2025-12-29</t>
        </is>
      </c>
      <c r="B331" t="inlineStr">
        <is>
          <t>PIG-B03</t>
        </is>
      </c>
      <c r="C331" t="inlineStr">
        <is>
          <t>Pen 2</t>
        </is>
      </c>
      <c r="D331" t="inlineStr">
        <is>
          <t>Pig grower</t>
        </is>
      </c>
      <c r="E331" t="n">
        <v>28.9</v>
      </c>
      <c r="F331" t="n">
        <v>65.5</v>
      </c>
      <c r="G331" t="n">
        <v>0</v>
      </c>
      <c r="H331" t="n">
        <v>0</v>
      </c>
      <c r="I331">
        <f>IFERROR(INDEX(P1_PIG_BATCHES!$E:$E,MATCH(B331,P1_PIG_BATCHES!$A:$A,0))-G331-H331,0)</f>
        <v/>
      </c>
      <c r="J331" t="n">
        <v>23.2</v>
      </c>
      <c r="K331" t="inlineStr">
        <is>
          <t>Dry</t>
        </is>
      </c>
      <c r="M331" t="inlineStr">
        <is>
          <t>S01</t>
        </is>
      </c>
    </row>
    <row r="332">
      <c r="A332" t="inlineStr">
        <is>
          <t>2025-12-30</t>
        </is>
      </c>
      <c r="B332" t="inlineStr">
        <is>
          <t>PIG-B03</t>
        </is>
      </c>
      <c r="C332" t="inlineStr">
        <is>
          <t>Pen 2</t>
        </is>
      </c>
      <c r="D332" t="inlineStr">
        <is>
          <t>Pig grower</t>
        </is>
      </c>
      <c r="E332" t="n">
        <v>29.1</v>
      </c>
      <c r="F332" t="n">
        <v>71.40000000000001</v>
      </c>
      <c r="G332" t="n">
        <v>0</v>
      </c>
      <c r="H332" t="n">
        <v>0</v>
      </c>
      <c r="I332">
        <f>IFERROR(INDEX(P1_PIG_BATCHES!$E:$E,MATCH(B332,P1_PIG_BATCHES!$A:$A,0))-G332-H332,0)</f>
        <v/>
      </c>
      <c r="J332" t="n">
        <v>26.7</v>
      </c>
      <c r="K332" t="inlineStr">
        <is>
          <t>Dry</t>
        </is>
      </c>
      <c r="M332" t="inlineStr">
        <is>
          <t>S01</t>
        </is>
      </c>
    </row>
    <row r="333">
      <c r="A333" t="inlineStr">
        <is>
          <t>2025-12-31</t>
        </is>
      </c>
      <c r="B333" t="inlineStr">
        <is>
          <t>PIG-B03</t>
        </is>
      </c>
      <c r="C333" t="inlineStr">
        <is>
          <t>Pen 2</t>
        </is>
      </c>
      <c r="D333" t="inlineStr">
        <is>
          <t>Pig grower</t>
        </is>
      </c>
      <c r="E333" t="n">
        <v>34.8</v>
      </c>
      <c r="F333" t="n">
        <v>97.40000000000001</v>
      </c>
      <c r="G333" t="n">
        <v>0</v>
      </c>
      <c r="H333" t="n">
        <v>0</v>
      </c>
      <c r="I333">
        <f>IFERROR(INDEX(P1_PIG_BATCHES!$E:$E,MATCH(B333,P1_PIG_BATCHES!$A:$A,0))-G333-H333,0)</f>
        <v/>
      </c>
      <c r="J333" t="n">
        <v>21.4</v>
      </c>
      <c r="K333" t="inlineStr">
        <is>
          <t>Dry</t>
        </is>
      </c>
      <c r="M333" t="inlineStr">
        <is>
          <t>S01</t>
        </is>
      </c>
    </row>
    <row r="334">
      <c r="A334" t="inlineStr">
        <is>
          <t>2026-01-01</t>
        </is>
      </c>
      <c r="B334" t="inlineStr">
        <is>
          <t>PIG-B03</t>
        </is>
      </c>
      <c r="C334" t="inlineStr">
        <is>
          <t>Pen 2</t>
        </is>
      </c>
      <c r="D334" t="inlineStr">
        <is>
          <t>Pig grower</t>
        </is>
      </c>
      <c r="E334" t="n">
        <v>30.3</v>
      </c>
      <c r="F334" t="n">
        <v>79.5</v>
      </c>
      <c r="G334" t="n">
        <v>0</v>
      </c>
      <c r="H334" t="n">
        <v>0</v>
      </c>
      <c r="I334">
        <f>IFERROR(INDEX(P1_PIG_BATCHES!$E:$E,MATCH(B334,P1_PIG_BATCHES!$A:$A,0))-G334-H334,0)</f>
        <v/>
      </c>
      <c r="J334" t="n">
        <v>20.5</v>
      </c>
      <c r="K334" t="inlineStr">
        <is>
          <t>Dry</t>
        </is>
      </c>
      <c r="M334" t="inlineStr">
        <is>
          <t>S01</t>
        </is>
      </c>
    </row>
    <row r="335">
      <c r="A335" t="inlineStr">
        <is>
          <t>2026-01-02</t>
        </is>
      </c>
      <c r="B335" t="inlineStr">
        <is>
          <t>PIG-B03</t>
        </is>
      </c>
      <c r="C335" t="inlineStr">
        <is>
          <t>Pen 2</t>
        </is>
      </c>
      <c r="D335" t="inlineStr">
        <is>
          <t>Pig grower</t>
        </is>
      </c>
      <c r="E335" t="n">
        <v>33.2</v>
      </c>
      <c r="F335" t="n">
        <v>92.09999999999999</v>
      </c>
      <c r="G335" t="n">
        <v>0</v>
      </c>
      <c r="H335" t="n">
        <v>0</v>
      </c>
      <c r="I335">
        <f>IFERROR(INDEX(P1_PIG_BATCHES!$E:$E,MATCH(B335,P1_PIG_BATCHES!$A:$A,0))-G335-H335,0)</f>
        <v/>
      </c>
      <c r="J335" t="n">
        <v>24.9</v>
      </c>
      <c r="K335" t="inlineStr">
        <is>
          <t>Dry</t>
        </is>
      </c>
      <c r="M335" t="inlineStr">
        <is>
          <t>S01</t>
        </is>
      </c>
    </row>
    <row r="336">
      <c r="A336" t="inlineStr">
        <is>
          <t>2026-01-03</t>
        </is>
      </c>
      <c r="B336" t="inlineStr">
        <is>
          <t>PIG-B03</t>
        </is>
      </c>
      <c r="C336" t="inlineStr">
        <is>
          <t>Pen 2</t>
        </is>
      </c>
      <c r="D336" t="inlineStr">
        <is>
          <t>Pig grower</t>
        </is>
      </c>
      <c r="E336" t="n">
        <v>33.4</v>
      </c>
      <c r="F336" t="n">
        <v>91.7</v>
      </c>
      <c r="G336" t="n">
        <v>0</v>
      </c>
      <c r="H336" t="n">
        <v>0</v>
      </c>
      <c r="I336">
        <f>IFERROR(INDEX(P1_PIG_BATCHES!$E:$E,MATCH(B336,P1_PIG_BATCHES!$A:$A,0))-G336-H336,0)</f>
        <v/>
      </c>
      <c r="J336" t="n">
        <v>26.6</v>
      </c>
      <c r="K336" t="inlineStr">
        <is>
          <t>Dry</t>
        </is>
      </c>
      <c r="M336" t="inlineStr">
        <is>
          <t>S01</t>
        </is>
      </c>
    </row>
    <row r="337">
      <c r="A337" t="inlineStr">
        <is>
          <t>2026-01-04</t>
        </is>
      </c>
      <c r="B337" t="inlineStr">
        <is>
          <t>PIG-B03</t>
        </is>
      </c>
      <c r="C337" t="inlineStr">
        <is>
          <t>Pen 2</t>
        </is>
      </c>
      <c r="D337" t="inlineStr">
        <is>
          <t>Pig grower</t>
        </is>
      </c>
      <c r="E337" t="n">
        <v>31.3</v>
      </c>
      <c r="F337" t="n">
        <v>87.5</v>
      </c>
      <c r="G337" t="n">
        <v>0</v>
      </c>
      <c r="H337" t="n">
        <v>0</v>
      </c>
      <c r="I337">
        <f>IFERROR(INDEX(P1_PIG_BATCHES!$E:$E,MATCH(B337,P1_PIG_BATCHES!$A:$A,0))-G337-H337,0)</f>
        <v/>
      </c>
      <c r="J337" t="n">
        <v>24.6</v>
      </c>
      <c r="K337" t="inlineStr">
        <is>
          <t>Dry</t>
        </is>
      </c>
      <c r="M337" t="inlineStr">
        <is>
          <t>S01</t>
        </is>
      </c>
    </row>
    <row r="338">
      <c r="A338" t="inlineStr">
        <is>
          <t>2026-01-05</t>
        </is>
      </c>
      <c r="B338" t="inlineStr">
        <is>
          <t>PIG-B03</t>
        </is>
      </c>
      <c r="C338" t="inlineStr">
        <is>
          <t>Pen 2</t>
        </is>
      </c>
      <c r="D338" t="inlineStr">
        <is>
          <t>Pig grower</t>
        </is>
      </c>
      <c r="E338" t="n">
        <v>39</v>
      </c>
      <c r="F338" t="n">
        <v>95.8</v>
      </c>
      <c r="G338" t="n">
        <v>0</v>
      </c>
      <c r="H338" t="n">
        <v>0</v>
      </c>
      <c r="I338">
        <f>IFERROR(INDEX(P1_PIG_BATCHES!$E:$E,MATCH(B338,P1_PIG_BATCHES!$A:$A,0))-G338-H338,0)</f>
        <v/>
      </c>
      <c r="J338" t="n">
        <v>21.4</v>
      </c>
      <c r="K338" t="inlineStr">
        <is>
          <t>Dry</t>
        </is>
      </c>
      <c r="M338" t="inlineStr">
        <is>
          <t>S01</t>
        </is>
      </c>
    </row>
    <row r="339">
      <c r="A339" t="inlineStr">
        <is>
          <t>2026-01-06</t>
        </is>
      </c>
      <c r="B339" t="inlineStr">
        <is>
          <t>PIG-B03</t>
        </is>
      </c>
      <c r="C339" t="inlineStr">
        <is>
          <t>Pen 2</t>
        </is>
      </c>
      <c r="D339" t="inlineStr">
        <is>
          <t>Pig grower</t>
        </is>
      </c>
      <c r="E339" t="n">
        <v>32</v>
      </c>
      <c r="F339" t="n">
        <v>84.5</v>
      </c>
      <c r="G339" t="n">
        <v>0</v>
      </c>
      <c r="H339" t="n">
        <v>0</v>
      </c>
      <c r="I339">
        <f>IFERROR(INDEX(P1_PIG_BATCHES!$E:$E,MATCH(B339,P1_PIG_BATCHES!$A:$A,0))-G339-H339,0)</f>
        <v/>
      </c>
      <c r="J339" t="n">
        <v>24.7</v>
      </c>
      <c r="K339" t="inlineStr">
        <is>
          <t>Dry</t>
        </is>
      </c>
      <c r="M339" t="inlineStr">
        <is>
          <t>S01</t>
        </is>
      </c>
    </row>
    <row r="340">
      <c r="A340" t="inlineStr">
        <is>
          <t>2026-01-07</t>
        </is>
      </c>
      <c r="B340" t="inlineStr">
        <is>
          <t>PIG-B03</t>
        </is>
      </c>
      <c r="C340" t="inlineStr">
        <is>
          <t>Pen 2</t>
        </is>
      </c>
      <c r="D340" t="inlineStr">
        <is>
          <t>Pig grower</t>
        </is>
      </c>
      <c r="E340" t="n">
        <v>38.5</v>
      </c>
      <c r="F340" t="n">
        <v>105.8</v>
      </c>
      <c r="G340" t="n">
        <v>0</v>
      </c>
      <c r="H340" t="n">
        <v>0</v>
      </c>
      <c r="I340">
        <f>IFERROR(INDEX(P1_PIG_BATCHES!$E:$E,MATCH(B340,P1_PIG_BATCHES!$A:$A,0))-G340-H340,0)</f>
        <v/>
      </c>
      <c r="J340" t="n">
        <v>26.5</v>
      </c>
      <c r="K340" t="inlineStr">
        <is>
          <t>Dry</t>
        </is>
      </c>
      <c r="M340" t="inlineStr">
        <is>
          <t>S01</t>
        </is>
      </c>
    </row>
    <row r="341">
      <c r="A341" t="inlineStr">
        <is>
          <t>2026-01-08</t>
        </is>
      </c>
      <c r="B341" t="inlineStr">
        <is>
          <t>PIG-B03</t>
        </is>
      </c>
      <c r="C341" t="inlineStr">
        <is>
          <t>Pen 2</t>
        </is>
      </c>
      <c r="D341" t="inlineStr">
        <is>
          <t>Pig grower</t>
        </is>
      </c>
      <c r="E341" t="n">
        <v>34.8</v>
      </c>
      <c r="F341" t="n">
        <v>91</v>
      </c>
      <c r="G341" t="n">
        <v>0</v>
      </c>
      <c r="H341" t="n">
        <v>0</v>
      </c>
      <c r="I341">
        <f>IFERROR(INDEX(P1_PIG_BATCHES!$E:$E,MATCH(B341,P1_PIG_BATCHES!$A:$A,0))-G341-H341,0)</f>
        <v/>
      </c>
      <c r="J341" t="n">
        <v>24.1</v>
      </c>
      <c r="K341" t="inlineStr">
        <is>
          <t>Dry</t>
        </is>
      </c>
      <c r="M341" t="inlineStr">
        <is>
          <t>S01</t>
        </is>
      </c>
    </row>
    <row r="342">
      <c r="A342" t="inlineStr">
        <is>
          <t>2026-01-09</t>
        </is>
      </c>
      <c r="B342" t="inlineStr">
        <is>
          <t>PIG-B03</t>
        </is>
      </c>
      <c r="C342" t="inlineStr">
        <is>
          <t>Pen 2</t>
        </is>
      </c>
      <c r="D342" t="inlineStr">
        <is>
          <t>Pig grower</t>
        </is>
      </c>
      <c r="E342" t="n">
        <v>35.2</v>
      </c>
      <c r="F342" t="n">
        <v>79.3</v>
      </c>
      <c r="G342" t="n">
        <v>0</v>
      </c>
      <c r="H342" t="n">
        <v>0</v>
      </c>
      <c r="I342">
        <f>IFERROR(INDEX(P1_PIG_BATCHES!$E:$E,MATCH(B342,P1_PIG_BATCHES!$A:$A,0))-G342-H342,0)</f>
        <v/>
      </c>
      <c r="J342" t="n">
        <v>26.9</v>
      </c>
      <c r="K342" t="inlineStr">
        <is>
          <t>Dry</t>
        </is>
      </c>
      <c r="M342" t="inlineStr">
        <is>
          <t>S01</t>
        </is>
      </c>
    </row>
    <row r="343">
      <c r="A343" t="inlineStr">
        <is>
          <t>2026-01-10</t>
        </is>
      </c>
      <c r="B343" t="inlineStr">
        <is>
          <t>PIG-B03</t>
        </is>
      </c>
      <c r="C343" t="inlineStr">
        <is>
          <t>Pen 2</t>
        </is>
      </c>
      <c r="D343" t="inlineStr">
        <is>
          <t>Pig grower</t>
        </is>
      </c>
      <c r="E343" t="n">
        <v>37.5</v>
      </c>
      <c r="F343" t="n">
        <v>86.2</v>
      </c>
      <c r="G343" t="n">
        <v>0</v>
      </c>
      <c r="H343" t="n">
        <v>0</v>
      </c>
      <c r="I343">
        <f>IFERROR(INDEX(P1_PIG_BATCHES!$E:$E,MATCH(B343,P1_PIG_BATCHES!$A:$A,0))-G343-H343,0)</f>
        <v/>
      </c>
      <c r="J343" t="n">
        <v>24</v>
      </c>
      <c r="K343" t="inlineStr">
        <is>
          <t>Dry</t>
        </is>
      </c>
      <c r="M343" t="inlineStr">
        <is>
          <t>S01</t>
        </is>
      </c>
    </row>
    <row r="344">
      <c r="A344" t="inlineStr">
        <is>
          <t>2026-01-11</t>
        </is>
      </c>
      <c r="B344" t="inlineStr">
        <is>
          <t>PIG-B03</t>
        </is>
      </c>
      <c r="C344" t="inlineStr">
        <is>
          <t>Pen 2</t>
        </is>
      </c>
      <c r="D344" t="inlineStr">
        <is>
          <t>Pig grower</t>
        </is>
      </c>
      <c r="E344" t="n">
        <v>38.3</v>
      </c>
      <c r="F344" t="n">
        <v>113.9</v>
      </c>
      <c r="G344" t="n">
        <v>0</v>
      </c>
      <c r="H344" t="n">
        <v>0</v>
      </c>
      <c r="I344">
        <f>IFERROR(INDEX(P1_PIG_BATCHES!$E:$E,MATCH(B344,P1_PIG_BATCHES!$A:$A,0))-G344-H344,0)</f>
        <v/>
      </c>
      <c r="J344" t="n">
        <v>27.5</v>
      </c>
      <c r="K344" t="inlineStr">
        <is>
          <t>Dry</t>
        </is>
      </c>
      <c r="M344" t="inlineStr">
        <is>
          <t>S01</t>
        </is>
      </c>
    </row>
    <row r="345">
      <c r="A345" t="inlineStr">
        <is>
          <t>2026-01-12</t>
        </is>
      </c>
      <c r="B345" t="inlineStr">
        <is>
          <t>PIG-B03</t>
        </is>
      </c>
      <c r="C345" t="inlineStr">
        <is>
          <t>Pen 2</t>
        </is>
      </c>
      <c r="D345" t="inlineStr">
        <is>
          <t>Pig grower</t>
        </is>
      </c>
      <c r="E345" t="n">
        <v>35.1</v>
      </c>
      <c r="F345" t="n">
        <v>101.1</v>
      </c>
      <c r="G345" t="n">
        <v>0</v>
      </c>
      <c r="H345" t="n">
        <v>0</v>
      </c>
      <c r="I345">
        <f>IFERROR(INDEX(P1_PIG_BATCHES!$E:$E,MATCH(B345,P1_PIG_BATCHES!$A:$A,0))-G345-H345,0)</f>
        <v/>
      </c>
      <c r="J345" t="n">
        <v>24.5</v>
      </c>
      <c r="K345" t="inlineStr">
        <is>
          <t>Dry</t>
        </is>
      </c>
      <c r="M345" t="inlineStr">
        <is>
          <t>S01</t>
        </is>
      </c>
    </row>
    <row r="346">
      <c r="A346" t="inlineStr">
        <is>
          <t>2026-01-13</t>
        </is>
      </c>
      <c r="B346" t="inlineStr">
        <is>
          <t>PIG-B03</t>
        </is>
      </c>
      <c r="C346" t="inlineStr">
        <is>
          <t>Pen 2</t>
        </is>
      </c>
      <c r="D346" t="inlineStr">
        <is>
          <t>Pig grower</t>
        </is>
      </c>
      <c r="E346" t="n">
        <v>40.7</v>
      </c>
      <c r="F346" t="n">
        <v>114.2</v>
      </c>
      <c r="G346" t="n">
        <v>0</v>
      </c>
      <c r="H346" t="n">
        <v>0</v>
      </c>
      <c r="I346">
        <f>IFERROR(INDEX(P1_PIG_BATCHES!$E:$E,MATCH(B346,P1_PIG_BATCHES!$A:$A,0))-G346-H346,0)</f>
        <v/>
      </c>
      <c r="J346" t="n">
        <v>27.3</v>
      </c>
      <c r="K346" t="inlineStr">
        <is>
          <t>Dry</t>
        </is>
      </c>
      <c r="M346" t="inlineStr">
        <is>
          <t>S01</t>
        </is>
      </c>
    </row>
    <row r="347">
      <c r="A347" t="inlineStr">
        <is>
          <t>2026-01-14</t>
        </is>
      </c>
      <c r="B347" t="inlineStr">
        <is>
          <t>PIG-B03</t>
        </is>
      </c>
      <c r="C347" t="inlineStr">
        <is>
          <t>Pen 2</t>
        </is>
      </c>
      <c r="D347" t="inlineStr">
        <is>
          <t>Pig grower</t>
        </is>
      </c>
      <c r="E347" t="n">
        <v>34.9</v>
      </c>
      <c r="F347" t="n">
        <v>79</v>
      </c>
      <c r="G347" t="n">
        <v>0</v>
      </c>
      <c r="H347" t="n">
        <v>0</v>
      </c>
      <c r="I347">
        <f>IFERROR(INDEX(P1_PIG_BATCHES!$E:$E,MATCH(B347,P1_PIG_BATCHES!$A:$A,0))-G347-H347,0)</f>
        <v/>
      </c>
      <c r="J347" t="n">
        <v>22.3</v>
      </c>
      <c r="K347" t="inlineStr">
        <is>
          <t>Dry</t>
        </is>
      </c>
      <c r="M347" t="inlineStr">
        <is>
          <t>S01</t>
        </is>
      </c>
    </row>
    <row r="348">
      <c r="A348" t="inlineStr">
        <is>
          <t>2026-01-15</t>
        </is>
      </c>
      <c r="B348" t="inlineStr">
        <is>
          <t>PIG-B03</t>
        </is>
      </c>
      <c r="C348" t="inlineStr">
        <is>
          <t>Pen 2</t>
        </is>
      </c>
      <c r="D348" t="inlineStr">
        <is>
          <t>Pig grower</t>
        </is>
      </c>
      <c r="E348" t="n">
        <v>35.7</v>
      </c>
      <c r="F348" t="n">
        <v>100.9</v>
      </c>
      <c r="G348" t="n">
        <v>0</v>
      </c>
      <c r="H348" t="n">
        <v>0</v>
      </c>
      <c r="I348">
        <f>IFERROR(INDEX(P1_PIG_BATCHES!$E:$E,MATCH(B348,P1_PIG_BATCHES!$A:$A,0))-G348-H348,0)</f>
        <v/>
      </c>
      <c r="J348" t="n">
        <v>24</v>
      </c>
      <c r="K348" t="inlineStr">
        <is>
          <t>Dry</t>
        </is>
      </c>
      <c r="M348" t="inlineStr">
        <is>
          <t>S01</t>
        </is>
      </c>
    </row>
    <row r="349">
      <c r="A349" t="inlineStr">
        <is>
          <t>2026-01-16</t>
        </is>
      </c>
      <c r="B349" t="inlineStr">
        <is>
          <t>PIG-B03</t>
        </is>
      </c>
      <c r="C349" t="inlineStr">
        <is>
          <t>Pen 2</t>
        </is>
      </c>
      <c r="D349" t="inlineStr">
        <is>
          <t>Pig grower</t>
        </is>
      </c>
      <c r="E349" t="n">
        <v>40.4</v>
      </c>
      <c r="F349" t="n">
        <v>102.4</v>
      </c>
      <c r="G349" t="n">
        <v>0</v>
      </c>
      <c r="H349" t="n">
        <v>0</v>
      </c>
      <c r="I349">
        <f>IFERROR(INDEX(P1_PIG_BATCHES!$E:$E,MATCH(B349,P1_PIG_BATCHES!$A:$A,0))-G349-H349,0)</f>
        <v/>
      </c>
      <c r="J349" t="n">
        <v>25.5</v>
      </c>
      <c r="K349" t="inlineStr">
        <is>
          <t>Dry</t>
        </is>
      </c>
      <c r="M349" t="inlineStr">
        <is>
          <t>S01</t>
        </is>
      </c>
    </row>
    <row r="350">
      <c r="A350" t="inlineStr">
        <is>
          <t>2026-01-17</t>
        </is>
      </c>
      <c r="B350" t="inlineStr">
        <is>
          <t>PIG-B03</t>
        </is>
      </c>
      <c r="C350" t="inlineStr">
        <is>
          <t>Pen 2</t>
        </is>
      </c>
      <c r="D350" t="inlineStr">
        <is>
          <t>Pig grower</t>
        </is>
      </c>
      <c r="E350" t="n">
        <v>41.3</v>
      </c>
      <c r="F350" t="n">
        <v>111.1</v>
      </c>
      <c r="G350" t="n">
        <v>0</v>
      </c>
      <c r="H350" t="n">
        <v>0</v>
      </c>
      <c r="I350">
        <f>IFERROR(INDEX(P1_PIG_BATCHES!$E:$E,MATCH(B350,P1_PIG_BATCHES!$A:$A,0))-G350-H350,0)</f>
        <v/>
      </c>
      <c r="J350" t="n">
        <v>22.4</v>
      </c>
      <c r="K350" t="inlineStr">
        <is>
          <t>Dry</t>
        </is>
      </c>
      <c r="M350" t="inlineStr">
        <is>
          <t>S01</t>
        </is>
      </c>
    </row>
    <row r="351">
      <c r="A351" t="inlineStr">
        <is>
          <t>2026-01-18</t>
        </is>
      </c>
      <c r="B351" t="inlineStr">
        <is>
          <t>PIG-B03</t>
        </is>
      </c>
      <c r="C351" t="inlineStr">
        <is>
          <t>Pen 2</t>
        </is>
      </c>
      <c r="D351" t="inlineStr">
        <is>
          <t>Pig grower</t>
        </is>
      </c>
      <c r="E351" t="n">
        <v>41.5</v>
      </c>
      <c r="F351" t="n">
        <v>98.3</v>
      </c>
      <c r="G351" t="n">
        <v>0</v>
      </c>
      <c r="H351" t="n">
        <v>0</v>
      </c>
      <c r="I351">
        <f>IFERROR(INDEX(P1_PIG_BATCHES!$E:$E,MATCH(B351,P1_PIG_BATCHES!$A:$A,0))-G351-H351,0)</f>
        <v/>
      </c>
      <c r="J351" t="n">
        <v>26.2</v>
      </c>
      <c r="K351" t="inlineStr">
        <is>
          <t>Dry</t>
        </is>
      </c>
      <c r="M351" t="inlineStr">
        <is>
          <t>S01</t>
        </is>
      </c>
    </row>
    <row r="352">
      <c r="A352" t="inlineStr">
        <is>
          <t>2026-01-19</t>
        </is>
      </c>
      <c r="B352" t="inlineStr">
        <is>
          <t>PIG-B03</t>
        </is>
      </c>
      <c r="C352" t="inlineStr">
        <is>
          <t>Pen 2</t>
        </is>
      </c>
      <c r="D352" t="inlineStr">
        <is>
          <t>Pig finisher</t>
        </is>
      </c>
      <c r="E352" t="n">
        <v>40.8</v>
      </c>
      <c r="F352" t="n">
        <v>110.4</v>
      </c>
      <c r="G352" t="n">
        <v>0</v>
      </c>
      <c r="H352" t="n">
        <v>0</v>
      </c>
      <c r="I352">
        <f>IFERROR(INDEX(P1_PIG_BATCHES!$E:$E,MATCH(B352,P1_PIG_BATCHES!$A:$A,0))-G352-H352,0)</f>
        <v/>
      </c>
      <c r="J352" t="n">
        <v>26.4</v>
      </c>
      <c r="K352" t="inlineStr">
        <is>
          <t>Dry</t>
        </is>
      </c>
      <c r="M352" t="inlineStr">
        <is>
          <t>S01</t>
        </is>
      </c>
    </row>
    <row r="353">
      <c r="A353" t="inlineStr">
        <is>
          <t>2026-01-20</t>
        </is>
      </c>
      <c r="B353" t="inlineStr">
        <is>
          <t>PIG-B03</t>
        </is>
      </c>
      <c r="C353" t="inlineStr">
        <is>
          <t>Pen 2</t>
        </is>
      </c>
      <c r="D353" t="inlineStr">
        <is>
          <t>Pig finisher</t>
        </is>
      </c>
      <c r="E353" t="n">
        <v>37.9</v>
      </c>
      <c r="F353" t="n">
        <v>104.4</v>
      </c>
      <c r="G353" t="n">
        <v>0</v>
      </c>
      <c r="H353" t="n">
        <v>0</v>
      </c>
      <c r="I353">
        <f>IFERROR(INDEX(P1_PIG_BATCHES!$E:$E,MATCH(B353,P1_PIG_BATCHES!$A:$A,0))-G353-H353,0)</f>
        <v/>
      </c>
      <c r="J353" t="n">
        <v>25.7</v>
      </c>
      <c r="K353" t="inlineStr">
        <is>
          <t>Dry</t>
        </is>
      </c>
      <c r="M353" t="inlineStr">
        <is>
          <t>S01</t>
        </is>
      </c>
    </row>
    <row r="354">
      <c r="A354" t="inlineStr">
        <is>
          <t>2026-01-21</t>
        </is>
      </c>
      <c r="B354" t="inlineStr">
        <is>
          <t>PIG-B03</t>
        </is>
      </c>
      <c r="C354" t="inlineStr">
        <is>
          <t>Pen 2</t>
        </is>
      </c>
      <c r="D354" t="inlineStr">
        <is>
          <t>Pig finisher</t>
        </is>
      </c>
      <c r="E354" t="n">
        <v>38.3</v>
      </c>
      <c r="F354" t="n">
        <v>87.2</v>
      </c>
      <c r="G354" t="n">
        <v>0</v>
      </c>
      <c r="H354" t="n">
        <v>0</v>
      </c>
      <c r="I354">
        <f>IFERROR(INDEX(P1_PIG_BATCHES!$E:$E,MATCH(B354,P1_PIG_BATCHES!$A:$A,0))-G354-H354,0)</f>
        <v/>
      </c>
      <c r="J354" t="n">
        <v>23.5</v>
      </c>
      <c r="K354" t="inlineStr">
        <is>
          <t>Dry</t>
        </is>
      </c>
      <c r="M354" t="inlineStr">
        <is>
          <t>S01</t>
        </is>
      </c>
    </row>
    <row r="355">
      <c r="A355" t="inlineStr">
        <is>
          <t>2026-01-22</t>
        </is>
      </c>
      <c r="B355" t="inlineStr">
        <is>
          <t>PIG-B03</t>
        </is>
      </c>
      <c r="C355" t="inlineStr">
        <is>
          <t>Pen 2</t>
        </is>
      </c>
      <c r="D355" t="inlineStr">
        <is>
          <t>Pig finisher</t>
        </is>
      </c>
      <c r="E355" t="n">
        <v>44.4</v>
      </c>
      <c r="F355" t="n">
        <v>108.8</v>
      </c>
      <c r="G355" t="n">
        <v>0</v>
      </c>
      <c r="H355" t="n">
        <v>0</v>
      </c>
      <c r="I355">
        <f>IFERROR(INDEX(P1_PIG_BATCHES!$E:$E,MATCH(B355,P1_PIG_BATCHES!$A:$A,0))-G355-H355,0)</f>
        <v/>
      </c>
      <c r="J355" t="n">
        <v>25.7</v>
      </c>
      <c r="K355" t="inlineStr">
        <is>
          <t>Dry</t>
        </is>
      </c>
      <c r="M355" t="inlineStr">
        <is>
          <t>S01</t>
        </is>
      </c>
    </row>
    <row r="356">
      <c r="A356" t="inlineStr">
        <is>
          <t>2026-01-23</t>
        </is>
      </c>
      <c r="B356" t="inlineStr">
        <is>
          <t>PIG-B03</t>
        </is>
      </c>
      <c r="C356" t="inlineStr">
        <is>
          <t>Pen 2</t>
        </is>
      </c>
      <c r="D356" t="inlineStr">
        <is>
          <t>Pig finisher</t>
        </is>
      </c>
      <c r="E356" t="n">
        <v>39.8</v>
      </c>
      <c r="F356" t="n">
        <v>109.9</v>
      </c>
      <c r="G356" t="n">
        <v>0</v>
      </c>
      <c r="H356" t="n">
        <v>0</v>
      </c>
      <c r="I356">
        <f>IFERROR(INDEX(P1_PIG_BATCHES!$E:$E,MATCH(B356,P1_PIG_BATCHES!$A:$A,0))-G356-H356,0)</f>
        <v/>
      </c>
      <c r="J356" t="n">
        <v>25.5</v>
      </c>
      <c r="K356" t="inlineStr">
        <is>
          <t>Dry</t>
        </is>
      </c>
      <c r="M356" t="inlineStr">
        <is>
          <t>S01</t>
        </is>
      </c>
    </row>
    <row r="357">
      <c r="A357" t="inlineStr">
        <is>
          <t>2026-01-24</t>
        </is>
      </c>
      <c r="B357" t="inlineStr">
        <is>
          <t>PIG-B03</t>
        </is>
      </c>
      <c r="C357" t="inlineStr">
        <is>
          <t>Pen 2</t>
        </is>
      </c>
      <c r="D357" t="inlineStr">
        <is>
          <t>Pig finisher</t>
        </is>
      </c>
      <c r="E357" t="n">
        <v>49.1</v>
      </c>
      <c r="F357" t="n">
        <v>128.5</v>
      </c>
      <c r="G357" t="n">
        <v>0</v>
      </c>
      <c r="H357" t="n">
        <v>0</v>
      </c>
      <c r="I357">
        <f>IFERROR(INDEX(P1_PIG_BATCHES!$E:$E,MATCH(B357,P1_PIG_BATCHES!$A:$A,0))-G357-H357,0)</f>
        <v/>
      </c>
      <c r="J357" t="n">
        <v>26</v>
      </c>
      <c r="K357" t="inlineStr">
        <is>
          <t>Dry</t>
        </is>
      </c>
      <c r="M357" t="inlineStr">
        <is>
          <t>S01</t>
        </is>
      </c>
    </row>
    <row r="358">
      <c r="A358" t="inlineStr">
        <is>
          <t>2026-01-25</t>
        </is>
      </c>
      <c r="B358" t="inlineStr">
        <is>
          <t>PIG-B03</t>
        </is>
      </c>
      <c r="C358" t="inlineStr">
        <is>
          <t>Pen 2</t>
        </is>
      </c>
      <c r="D358" t="inlineStr">
        <is>
          <t>Pig finisher</t>
        </is>
      </c>
      <c r="E358" t="n">
        <v>41.2</v>
      </c>
      <c r="F358" t="n">
        <v>95.09999999999999</v>
      </c>
      <c r="G358" t="n">
        <v>0</v>
      </c>
      <c r="H358" t="n">
        <v>0</v>
      </c>
      <c r="I358">
        <f>IFERROR(INDEX(P1_PIG_BATCHES!$E:$E,MATCH(B358,P1_PIG_BATCHES!$A:$A,0))-G358-H358,0)</f>
        <v/>
      </c>
      <c r="J358" t="n">
        <v>26</v>
      </c>
      <c r="K358" t="inlineStr">
        <is>
          <t>Dry</t>
        </is>
      </c>
      <c r="M358" t="inlineStr">
        <is>
          <t>S01</t>
        </is>
      </c>
    </row>
    <row r="359">
      <c r="A359" t="inlineStr">
        <is>
          <t>2026-01-26</t>
        </is>
      </c>
      <c r="B359" t="inlineStr">
        <is>
          <t>PIG-B03</t>
        </is>
      </c>
      <c r="C359" t="inlineStr">
        <is>
          <t>Pen 2</t>
        </is>
      </c>
      <c r="D359" t="inlineStr">
        <is>
          <t>Pig finisher</t>
        </is>
      </c>
      <c r="E359" t="n">
        <v>49.4</v>
      </c>
      <c r="F359" t="n">
        <v>138.9</v>
      </c>
      <c r="G359" t="n">
        <v>0</v>
      </c>
      <c r="H359" t="n">
        <v>0</v>
      </c>
      <c r="I359">
        <f>IFERROR(INDEX(P1_PIG_BATCHES!$E:$E,MATCH(B359,P1_PIG_BATCHES!$A:$A,0))-G359-H359,0)</f>
        <v/>
      </c>
      <c r="J359" t="n">
        <v>20.6</v>
      </c>
      <c r="K359" t="inlineStr">
        <is>
          <t>Dry</t>
        </is>
      </c>
      <c r="M359" t="inlineStr">
        <is>
          <t>S01</t>
        </is>
      </c>
    </row>
    <row r="360">
      <c r="A360" t="inlineStr">
        <is>
          <t>2026-01-27</t>
        </is>
      </c>
      <c r="B360" t="inlineStr">
        <is>
          <t>PIG-B03</t>
        </is>
      </c>
      <c r="C360" t="inlineStr">
        <is>
          <t>Pen 2</t>
        </is>
      </c>
      <c r="D360" t="inlineStr">
        <is>
          <t>Pig finisher</t>
        </is>
      </c>
      <c r="E360" t="n">
        <v>43.2</v>
      </c>
      <c r="F360" t="n">
        <v>97.59999999999999</v>
      </c>
      <c r="G360" t="n">
        <v>0</v>
      </c>
      <c r="H360" t="n">
        <v>0</v>
      </c>
      <c r="I360">
        <f>IFERROR(INDEX(P1_PIG_BATCHES!$E:$E,MATCH(B360,P1_PIG_BATCHES!$A:$A,0))-G360-H360,0)</f>
        <v/>
      </c>
      <c r="J360" t="n">
        <v>25.5</v>
      </c>
      <c r="K360" t="inlineStr">
        <is>
          <t>Dry</t>
        </is>
      </c>
      <c r="M360" t="inlineStr">
        <is>
          <t>S01</t>
        </is>
      </c>
    </row>
    <row r="361">
      <c r="A361" t="inlineStr">
        <is>
          <t>2026-01-28</t>
        </is>
      </c>
      <c r="B361" t="inlineStr">
        <is>
          <t>PIG-B03</t>
        </is>
      </c>
      <c r="C361" t="inlineStr">
        <is>
          <t>Pen 2</t>
        </is>
      </c>
      <c r="D361" t="inlineStr">
        <is>
          <t>Pig finisher</t>
        </is>
      </c>
      <c r="E361" t="n">
        <v>41.5</v>
      </c>
      <c r="F361" t="n">
        <v>106.4</v>
      </c>
      <c r="G361" t="n">
        <v>0</v>
      </c>
      <c r="H361" t="n">
        <v>0</v>
      </c>
      <c r="I361">
        <f>IFERROR(INDEX(P1_PIG_BATCHES!$E:$E,MATCH(B361,P1_PIG_BATCHES!$A:$A,0))-G361-H361,0)</f>
        <v/>
      </c>
      <c r="J361" t="n">
        <v>23</v>
      </c>
      <c r="K361" t="inlineStr">
        <is>
          <t>Dry</t>
        </is>
      </c>
      <c r="M361" t="inlineStr">
        <is>
          <t>S01</t>
        </is>
      </c>
    </row>
    <row r="362">
      <c r="A362" t="inlineStr">
        <is>
          <t>2026-01-29</t>
        </is>
      </c>
      <c r="B362" t="inlineStr">
        <is>
          <t>PIG-B03</t>
        </is>
      </c>
      <c r="C362" t="inlineStr">
        <is>
          <t>Pen 2</t>
        </is>
      </c>
      <c r="D362" t="inlineStr">
        <is>
          <t>Pig finisher</t>
        </is>
      </c>
      <c r="E362" t="n">
        <v>47.4</v>
      </c>
      <c r="F362" t="n">
        <v>118.3</v>
      </c>
      <c r="G362" t="n">
        <v>0</v>
      </c>
      <c r="H362" t="n">
        <v>0</v>
      </c>
      <c r="I362">
        <f>IFERROR(INDEX(P1_PIG_BATCHES!$E:$E,MATCH(B362,P1_PIG_BATCHES!$A:$A,0))-G362-H362,0)</f>
        <v/>
      </c>
      <c r="J362" t="n">
        <v>22.2</v>
      </c>
      <c r="K362" t="inlineStr">
        <is>
          <t>Dry</t>
        </is>
      </c>
      <c r="M362" t="inlineStr">
        <is>
          <t>S01</t>
        </is>
      </c>
    </row>
    <row r="363">
      <c r="A363" t="inlineStr">
        <is>
          <t>2026-01-30</t>
        </is>
      </c>
      <c r="B363" t="inlineStr">
        <is>
          <t>PIG-B03</t>
        </is>
      </c>
      <c r="C363" t="inlineStr">
        <is>
          <t>Pen 2</t>
        </is>
      </c>
      <c r="D363" t="inlineStr">
        <is>
          <t>Pig finisher</t>
        </is>
      </c>
      <c r="E363" t="n">
        <v>48</v>
      </c>
      <c r="F363" t="n">
        <v>133.1</v>
      </c>
      <c r="G363" t="n">
        <v>0</v>
      </c>
      <c r="H363" t="n">
        <v>0</v>
      </c>
      <c r="I363">
        <f>IFERROR(INDEX(P1_PIG_BATCHES!$E:$E,MATCH(B363,P1_PIG_BATCHES!$A:$A,0))-G363-H363,0)</f>
        <v/>
      </c>
      <c r="J363" t="n">
        <v>22</v>
      </c>
      <c r="K363" t="inlineStr">
        <is>
          <t>Dry</t>
        </is>
      </c>
      <c r="M363" t="inlineStr">
        <is>
          <t>S01</t>
        </is>
      </c>
    </row>
    <row r="364">
      <c r="A364" t="inlineStr">
        <is>
          <t>2026-01-31</t>
        </is>
      </c>
      <c r="B364" t="inlineStr">
        <is>
          <t>PIG-B03</t>
        </is>
      </c>
      <c r="C364" t="inlineStr">
        <is>
          <t>Pen 2</t>
        </is>
      </c>
      <c r="D364" t="inlineStr">
        <is>
          <t>Pig finisher</t>
        </is>
      </c>
      <c r="E364" t="n">
        <v>42.4</v>
      </c>
      <c r="F364" t="n">
        <v>122.2</v>
      </c>
      <c r="G364" t="n">
        <v>0</v>
      </c>
      <c r="H364" t="n">
        <v>0</v>
      </c>
      <c r="I364">
        <f>IFERROR(INDEX(P1_PIG_BATCHES!$E:$E,MATCH(B364,P1_PIG_BATCHES!$A:$A,0))-G364-H364,0)</f>
        <v/>
      </c>
      <c r="J364" t="n">
        <v>22.2</v>
      </c>
      <c r="K364" t="inlineStr">
        <is>
          <t>Dry</t>
        </is>
      </c>
      <c r="M364" t="inlineStr">
        <is>
          <t>S01</t>
        </is>
      </c>
    </row>
    <row r="365">
      <c r="A365" t="inlineStr">
        <is>
          <t>2026-02-01</t>
        </is>
      </c>
      <c r="B365" t="inlineStr">
        <is>
          <t>PIG-B03</t>
        </is>
      </c>
      <c r="C365" t="inlineStr">
        <is>
          <t>Pen 2</t>
        </is>
      </c>
      <c r="D365" t="inlineStr">
        <is>
          <t>Pig finisher</t>
        </is>
      </c>
      <c r="E365" t="n">
        <v>46.8</v>
      </c>
      <c r="F365" t="n">
        <v>108.9</v>
      </c>
      <c r="G365" t="n">
        <v>0</v>
      </c>
      <c r="H365" t="n">
        <v>0</v>
      </c>
      <c r="I365">
        <f>IFERROR(INDEX(P1_PIG_BATCHES!$E:$E,MATCH(B365,P1_PIG_BATCHES!$A:$A,0))-G365-H365,0)</f>
        <v/>
      </c>
      <c r="J365" t="n">
        <v>27.1</v>
      </c>
      <c r="K365" t="inlineStr">
        <is>
          <t>Dry</t>
        </is>
      </c>
      <c r="M365" t="inlineStr">
        <is>
          <t>S01</t>
        </is>
      </c>
    </row>
    <row r="366">
      <c r="A366" t="inlineStr">
        <is>
          <t>2026-02-02</t>
        </is>
      </c>
      <c r="B366" t="inlineStr">
        <is>
          <t>PIG-B03</t>
        </is>
      </c>
      <c r="C366" t="inlineStr">
        <is>
          <t>Pen 2</t>
        </is>
      </c>
      <c r="D366" t="inlineStr">
        <is>
          <t>Pig finisher</t>
        </is>
      </c>
      <c r="E366" t="n">
        <v>49.2</v>
      </c>
      <c r="F366" t="n">
        <v>143.8</v>
      </c>
      <c r="G366" t="n">
        <v>0</v>
      </c>
      <c r="H366" t="n">
        <v>0</v>
      </c>
      <c r="I366">
        <f>IFERROR(INDEX(P1_PIG_BATCHES!$E:$E,MATCH(B366,P1_PIG_BATCHES!$A:$A,0))-G366-H366,0)</f>
        <v/>
      </c>
      <c r="J366" t="n">
        <v>25.7</v>
      </c>
      <c r="K366" t="inlineStr">
        <is>
          <t>Dry</t>
        </is>
      </c>
      <c r="M366" t="inlineStr">
        <is>
          <t>S01</t>
        </is>
      </c>
    </row>
    <row r="367">
      <c r="A367" t="inlineStr">
        <is>
          <t>2026-02-03</t>
        </is>
      </c>
      <c r="B367" t="inlineStr">
        <is>
          <t>PIG-B03</t>
        </is>
      </c>
      <c r="C367" t="inlineStr">
        <is>
          <t>Pen 2</t>
        </is>
      </c>
      <c r="D367" t="inlineStr">
        <is>
          <t>Pig finisher</t>
        </is>
      </c>
      <c r="E367" t="n">
        <v>47</v>
      </c>
      <c r="F367" t="n">
        <v>119.1</v>
      </c>
      <c r="G367" t="n">
        <v>0</v>
      </c>
      <c r="H367" t="n">
        <v>0</v>
      </c>
      <c r="I367">
        <f>IFERROR(INDEX(P1_PIG_BATCHES!$E:$E,MATCH(B367,P1_PIG_BATCHES!$A:$A,0))-G367-H367,0)</f>
        <v/>
      </c>
      <c r="J367" t="n">
        <v>25.6</v>
      </c>
      <c r="K367" t="inlineStr">
        <is>
          <t>Dry</t>
        </is>
      </c>
      <c r="M367" t="inlineStr">
        <is>
          <t>S01</t>
        </is>
      </c>
    </row>
    <row r="368">
      <c r="A368" t="inlineStr">
        <is>
          <t>2026-02-04</t>
        </is>
      </c>
      <c r="B368" t="inlineStr">
        <is>
          <t>PIG-B03</t>
        </is>
      </c>
      <c r="C368" t="inlineStr">
        <is>
          <t>Pen 2</t>
        </is>
      </c>
      <c r="D368" t="inlineStr">
        <is>
          <t>Pig finisher</t>
        </is>
      </c>
      <c r="E368" t="n">
        <v>44.6</v>
      </c>
      <c r="F368" t="n">
        <v>111.5</v>
      </c>
      <c r="G368" t="n">
        <v>0</v>
      </c>
      <c r="H368" t="n">
        <v>0</v>
      </c>
      <c r="I368">
        <f>IFERROR(INDEX(P1_PIG_BATCHES!$E:$E,MATCH(B368,P1_PIG_BATCHES!$A:$A,0))-G368-H368,0)</f>
        <v/>
      </c>
      <c r="J368" t="n">
        <v>24</v>
      </c>
      <c r="K368" t="inlineStr">
        <is>
          <t>Dry</t>
        </is>
      </c>
      <c r="M368" t="inlineStr">
        <is>
          <t>S01</t>
        </is>
      </c>
    </row>
    <row r="369">
      <c r="A369" t="inlineStr">
        <is>
          <t>2026-02-05</t>
        </is>
      </c>
      <c r="B369" t="inlineStr">
        <is>
          <t>PIG-B03</t>
        </is>
      </c>
      <c r="C369" t="inlineStr">
        <is>
          <t>Pen 2</t>
        </is>
      </c>
      <c r="D369" t="inlineStr">
        <is>
          <t>Pig finisher</t>
        </is>
      </c>
      <c r="E369" t="n">
        <v>46.2</v>
      </c>
      <c r="F369" t="n">
        <v>131.1</v>
      </c>
      <c r="G369" t="n">
        <v>0</v>
      </c>
      <c r="H369" t="n">
        <v>0</v>
      </c>
      <c r="I369">
        <f>IFERROR(INDEX(P1_PIG_BATCHES!$E:$E,MATCH(B369,P1_PIG_BATCHES!$A:$A,0))-G369-H369,0)</f>
        <v/>
      </c>
      <c r="J369" t="n">
        <v>27.5</v>
      </c>
      <c r="K369" t="inlineStr">
        <is>
          <t>Dry</t>
        </is>
      </c>
      <c r="M369" t="inlineStr">
        <is>
          <t>S01</t>
        </is>
      </c>
    </row>
    <row r="370">
      <c r="A370" t="inlineStr">
        <is>
          <t>2026-02-06</t>
        </is>
      </c>
      <c r="B370" t="inlineStr">
        <is>
          <t>PIG-B03</t>
        </is>
      </c>
      <c r="C370" t="inlineStr">
        <is>
          <t>Pen 2</t>
        </is>
      </c>
      <c r="D370" t="inlineStr">
        <is>
          <t>Pig finisher</t>
        </is>
      </c>
      <c r="E370" t="n">
        <v>45.3</v>
      </c>
      <c r="F370" t="n">
        <v>116.5</v>
      </c>
      <c r="G370" t="n">
        <v>0</v>
      </c>
      <c r="H370" t="n">
        <v>0</v>
      </c>
      <c r="I370">
        <f>IFERROR(INDEX(P1_PIG_BATCHES!$E:$E,MATCH(B370,P1_PIG_BATCHES!$A:$A,0))-G370-H370,0)</f>
        <v/>
      </c>
      <c r="J370" t="n">
        <v>22.4</v>
      </c>
      <c r="K370" t="inlineStr">
        <is>
          <t>Dry</t>
        </is>
      </c>
      <c r="M370" t="inlineStr">
        <is>
          <t>S01</t>
        </is>
      </c>
    </row>
    <row r="371">
      <c r="A371" t="inlineStr">
        <is>
          <t>2026-02-07</t>
        </is>
      </c>
      <c r="B371" t="inlineStr">
        <is>
          <t>PIG-B03</t>
        </is>
      </c>
      <c r="C371" t="inlineStr">
        <is>
          <t>Pen 2</t>
        </is>
      </c>
      <c r="D371" t="inlineStr">
        <is>
          <t>Pig finisher</t>
        </is>
      </c>
      <c r="E371" t="n">
        <v>48.9</v>
      </c>
      <c r="F371" t="n">
        <v>129.2</v>
      </c>
      <c r="G371" t="n">
        <v>0</v>
      </c>
      <c r="H371" t="n">
        <v>0</v>
      </c>
      <c r="I371">
        <f>IFERROR(INDEX(P1_PIG_BATCHES!$E:$E,MATCH(B371,P1_PIG_BATCHES!$A:$A,0))-G371-H371,0)</f>
        <v/>
      </c>
      <c r="J371" t="n">
        <v>20.5</v>
      </c>
      <c r="K371" t="inlineStr">
        <is>
          <t>Dry</t>
        </is>
      </c>
      <c r="M371" t="inlineStr">
        <is>
          <t>S01</t>
        </is>
      </c>
    </row>
    <row r="372">
      <c r="A372" t="inlineStr">
        <is>
          <t>2026-02-08</t>
        </is>
      </c>
      <c r="B372" t="inlineStr">
        <is>
          <t>PIG-B03</t>
        </is>
      </c>
      <c r="C372" t="inlineStr">
        <is>
          <t>Pen 2</t>
        </is>
      </c>
      <c r="D372" t="inlineStr">
        <is>
          <t>Pig finisher</t>
        </is>
      </c>
      <c r="E372" t="n">
        <v>52.3</v>
      </c>
      <c r="F372" t="n">
        <v>128</v>
      </c>
      <c r="G372" t="n">
        <v>0</v>
      </c>
      <c r="H372" t="n">
        <v>0</v>
      </c>
      <c r="I372">
        <f>IFERROR(INDEX(P1_PIG_BATCHES!$E:$E,MATCH(B372,P1_PIG_BATCHES!$A:$A,0))-G372-H372,0)</f>
        <v/>
      </c>
      <c r="J372" t="n">
        <v>24.9</v>
      </c>
      <c r="K372" t="inlineStr">
        <is>
          <t>Dry</t>
        </is>
      </c>
      <c r="M372" t="inlineStr">
        <is>
          <t>S01</t>
        </is>
      </c>
    </row>
    <row r="373">
      <c r="A373" t="inlineStr">
        <is>
          <t>2026-02-09</t>
        </is>
      </c>
      <c r="B373" t="inlineStr">
        <is>
          <t>PIG-B03</t>
        </is>
      </c>
      <c r="C373" t="inlineStr">
        <is>
          <t>Pen 2</t>
        </is>
      </c>
      <c r="D373" t="inlineStr">
        <is>
          <t>Pig finisher</t>
        </is>
      </c>
      <c r="E373" t="n">
        <v>53.1</v>
      </c>
      <c r="F373" t="n">
        <v>137.8</v>
      </c>
      <c r="G373" t="n">
        <v>0</v>
      </c>
      <c r="H373" t="n">
        <v>0</v>
      </c>
      <c r="I373">
        <f>IFERROR(INDEX(P1_PIG_BATCHES!$E:$E,MATCH(B373,P1_PIG_BATCHES!$A:$A,0))-G373-H373,0)</f>
        <v/>
      </c>
      <c r="J373" t="n">
        <v>26</v>
      </c>
      <c r="K373" t="inlineStr">
        <is>
          <t>Dry</t>
        </is>
      </c>
      <c r="M373" t="inlineStr">
        <is>
          <t>S01</t>
        </is>
      </c>
    </row>
    <row r="374">
      <c r="A374" t="inlineStr">
        <is>
          <t>2026-02-10</t>
        </is>
      </c>
      <c r="B374" t="inlineStr">
        <is>
          <t>PIG-B03</t>
        </is>
      </c>
      <c r="C374" t="inlineStr">
        <is>
          <t>Pen 2</t>
        </is>
      </c>
      <c r="D374" t="inlineStr">
        <is>
          <t>Pig finisher</t>
        </is>
      </c>
      <c r="E374" t="n">
        <v>57.5</v>
      </c>
      <c r="F374" t="n">
        <v>161.2</v>
      </c>
      <c r="G374" t="n">
        <v>0</v>
      </c>
      <c r="H374" t="n">
        <v>0</v>
      </c>
      <c r="I374">
        <f>IFERROR(INDEX(P1_PIG_BATCHES!$E:$E,MATCH(B374,P1_PIG_BATCHES!$A:$A,0))-G374-H374,0)</f>
        <v/>
      </c>
      <c r="J374" t="n">
        <v>22.2</v>
      </c>
      <c r="K374" t="inlineStr">
        <is>
          <t>Dry</t>
        </is>
      </c>
      <c r="M374" t="inlineStr">
        <is>
          <t>S01</t>
        </is>
      </c>
    </row>
    <row r="375">
      <c r="A375" t="inlineStr">
        <is>
          <t>2026-02-11</t>
        </is>
      </c>
      <c r="B375" t="inlineStr">
        <is>
          <t>PIG-B03</t>
        </is>
      </c>
      <c r="C375" t="inlineStr">
        <is>
          <t>Pen 2</t>
        </is>
      </c>
      <c r="D375" t="inlineStr">
        <is>
          <t>Pig finisher</t>
        </is>
      </c>
      <c r="E375" t="n">
        <v>51.8</v>
      </c>
      <c r="F375" t="n">
        <v>123.9</v>
      </c>
      <c r="G375" t="n">
        <v>0</v>
      </c>
      <c r="H375" t="n">
        <v>0</v>
      </c>
      <c r="I375">
        <f>IFERROR(INDEX(P1_PIG_BATCHES!$E:$E,MATCH(B375,P1_PIG_BATCHES!$A:$A,0))-G375-H375,0)</f>
        <v/>
      </c>
      <c r="J375" t="n">
        <v>22.9</v>
      </c>
      <c r="K375" t="inlineStr">
        <is>
          <t>Dry</t>
        </is>
      </c>
      <c r="M375" t="inlineStr">
        <is>
          <t>S01</t>
        </is>
      </c>
    </row>
    <row r="376">
      <c r="A376" t="inlineStr">
        <is>
          <t>2026-02-12</t>
        </is>
      </c>
      <c r="B376" t="inlineStr">
        <is>
          <t>PIG-B03</t>
        </is>
      </c>
      <c r="C376" t="inlineStr">
        <is>
          <t>Pen 2</t>
        </is>
      </c>
      <c r="D376" t="inlineStr">
        <is>
          <t>Pig finisher</t>
        </is>
      </c>
      <c r="E376" t="n">
        <v>58.3</v>
      </c>
      <c r="F376" t="n">
        <v>172.1</v>
      </c>
      <c r="G376" t="n">
        <v>0</v>
      </c>
      <c r="H376" t="n">
        <v>0</v>
      </c>
      <c r="I376">
        <f>IFERROR(INDEX(P1_PIG_BATCHES!$E:$E,MATCH(B376,P1_PIG_BATCHES!$A:$A,0))-G376-H376,0)</f>
        <v/>
      </c>
      <c r="J376" t="n">
        <v>20.4</v>
      </c>
      <c r="K376" t="inlineStr">
        <is>
          <t>Dry</t>
        </is>
      </c>
      <c r="M376" t="inlineStr">
        <is>
          <t>S01</t>
        </is>
      </c>
    </row>
    <row r="377">
      <c r="A377" t="inlineStr">
        <is>
          <t>2026-02-13</t>
        </is>
      </c>
      <c r="B377" t="inlineStr">
        <is>
          <t>PIG-B03</t>
        </is>
      </c>
      <c r="C377" t="inlineStr">
        <is>
          <t>Pen 2</t>
        </is>
      </c>
      <c r="D377" t="inlineStr">
        <is>
          <t>Pig finisher</t>
        </is>
      </c>
      <c r="E377" t="n">
        <v>58.5</v>
      </c>
      <c r="F377" t="n">
        <v>162.5</v>
      </c>
      <c r="G377" t="n">
        <v>0</v>
      </c>
      <c r="H377" t="n">
        <v>0</v>
      </c>
      <c r="I377">
        <f>IFERROR(INDEX(P1_PIG_BATCHES!$E:$E,MATCH(B377,P1_PIG_BATCHES!$A:$A,0))-G377-H377,0)</f>
        <v/>
      </c>
      <c r="J377" t="n">
        <v>21.1</v>
      </c>
      <c r="K377" t="inlineStr">
        <is>
          <t>Dry</t>
        </is>
      </c>
      <c r="M377" t="inlineStr">
        <is>
          <t>S01</t>
        </is>
      </c>
    </row>
    <row r="378">
      <c r="A378" t="inlineStr">
        <is>
          <t>2026-02-14</t>
        </is>
      </c>
      <c r="B378" t="inlineStr">
        <is>
          <t>PIG-B03</t>
        </is>
      </c>
      <c r="C378" t="inlineStr">
        <is>
          <t>Pen 2</t>
        </is>
      </c>
      <c r="D378" t="inlineStr">
        <is>
          <t>Pig finisher</t>
        </is>
      </c>
      <c r="E378" t="n">
        <v>51</v>
      </c>
      <c r="F378" t="n">
        <v>132.3</v>
      </c>
      <c r="G378" t="n">
        <v>0</v>
      </c>
      <c r="H378" t="n">
        <v>0</v>
      </c>
      <c r="I378">
        <f>IFERROR(INDEX(P1_PIG_BATCHES!$E:$E,MATCH(B378,P1_PIG_BATCHES!$A:$A,0))-G378-H378,0)</f>
        <v/>
      </c>
      <c r="J378" t="n">
        <v>20.8</v>
      </c>
      <c r="K378" t="inlineStr">
        <is>
          <t>Dry</t>
        </is>
      </c>
      <c r="M378" t="inlineStr">
        <is>
          <t>S01</t>
        </is>
      </c>
    </row>
    <row r="379">
      <c r="A379" t="inlineStr">
        <is>
          <t>2026-02-15</t>
        </is>
      </c>
      <c r="B379" t="inlineStr">
        <is>
          <t>PIG-B03</t>
        </is>
      </c>
      <c r="C379" t="inlineStr">
        <is>
          <t>Pen 2</t>
        </is>
      </c>
      <c r="D379" t="inlineStr">
        <is>
          <t>Pig finisher</t>
        </is>
      </c>
      <c r="E379" t="n">
        <v>57.7</v>
      </c>
      <c r="F379" t="n">
        <v>131.7</v>
      </c>
      <c r="G379" t="n">
        <v>0</v>
      </c>
      <c r="H379" t="n">
        <v>0</v>
      </c>
      <c r="I379">
        <f>IFERROR(INDEX(P1_PIG_BATCHES!$E:$E,MATCH(B379,P1_PIG_BATCHES!$A:$A,0))-G379-H379,0)</f>
        <v/>
      </c>
      <c r="J379" t="n">
        <v>27</v>
      </c>
      <c r="K379" t="inlineStr">
        <is>
          <t>Dry</t>
        </is>
      </c>
      <c r="M379" t="inlineStr">
        <is>
          <t>S01</t>
        </is>
      </c>
    </row>
    <row r="380">
      <c r="A380" t="inlineStr">
        <is>
          <t>2026-02-16</t>
        </is>
      </c>
      <c r="B380" t="inlineStr">
        <is>
          <t>PIG-B03</t>
        </is>
      </c>
      <c r="C380" t="inlineStr">
        <is>
          <t>Pen 2</t>
        </is>
      </c>
      <c r="D380" t="inlineStr">
        <is>
          <t>Pig finisher</t>
        </is>
      </c>
      <c r="E380" t="n">
        <v>55.6</v>
      </c>
      <c r="F380" t="n">
        <v>153.3</v>
      </c>
      <c r="G380" t="n">
        <v>0</v>
      </c>
      <c r="H380" t="n">
        <v>0</v>
      </c>
      <c r="I380">
        <f>IFERROR(INDEX(P1_PIG_BATCHES!$E:$E,MATCH(B380,P1_PIG_BATCHES!$A:$A,0))-G380-H380,0)</f>
        <v/>
      </c>
      <c r="J380" t="n">
        <v>23.1</v>
      </c>
      <c r="K380" t="inlineStr">
        <is>
          <t>Dry</t>
        </is>
      </c>
      <c r="M380" t="inlineStr">
        <is>
          <t>S01</t>
        </is>
      </c>
    </row>
    <row r="381">
      <c r="A381" t="inlineStr">
        <is>
          <t>2026-02-17</t>
        </is>
      </c>
      <c r="B381" t="inlineStr">
        <is>
          <t>PIG-B03</t>
        </is>
      </c>
      <c r="C381" t="inlineStr">
        <is>
          <t>Pen 2</t>
        </is>
      </c>
      <c r="D381" t="inlineStr">
        <is>
          <t>Pig finisher</t>
        </is>
      </c>
      <c r="E381" t="n">
        <v>50.3</v>
      </c>
      <c r="F381" t="n">
        <v>114.9</v>
      </c>
      <c r="G381" t="n">
        <v>0</v>
      </c>
      <c r="H381" t="n">
        <v>0</v>
      </c>
      <c r="I381">
        <f>IFERROR(INDEX(P1_PIG_BATCHES!$E:$E,MATCH(B381,P1_PIG_BATCHES!$A:$A,0))-G381-H381,0)</f>
        <v/>
      </c>
      <c r="J381" t="n">
        <v>21.4</v>
      </c>
      <c r="K381" t="inlineStr">
        <is>
          <t>Dry</t>
        </is>
      </c>
      <c r="M381" t="inlineStr">
        <is>
          <t>S01</t>
        </is>
      </c>
    </row>
    <row r="382">
      <c r="A382" t="inlineStr">
        <is>
          <t>2026-02-18</t>
        </is>
      </c>
      <c r="B382" t="inlineStr">
        <is>
          <t>PIG-B03</t>
        </is>
      </c>
      <c r="C382" t="inlineStr">
        <is>
          <t>Pen 2</t>
        </is>
      </c>
      <c r="D382" t="inlineStr">
        <is>
          <t>Pig finisher</t>
        </is>
      </c>
      <c r="E382" t="n">
        <v>50.6</v>
      </c>
      <c r="F382" t="n">
        <v>134.2</v>
      </c>
      <c r="G382" t="n">
        <v>0</v>
      </c>
      <c r="H382" t="n">
        <v>0</v>
      </c>
      <c r="I382">
        <f>IFERROR(INDEX(P1_PIG_BATCHES!$E:$E,MATCH(B382,P1_PIG_BATCHES!$A:$A,0))-G382-H382,0)</f>
        <v/>
      </c>
      <c r="J382" t="n">
        <v>23.5</v>
      </c>
      <c r="K382" t="inlineStr">
        <is>
          <t>Dry</t>
        </is>
      </c>
      <c r="M382" t="inlineStr">
        <is>
          <t>S01</t>
        </is>
      </c>
    </row>
    <row r="383">
      <c r="A383" t="inlineStr">
        <is>
          <t>2026-02-19</t>
        </is>
      </c>
      <c r="B383" t="inlineStr">
        <is>
          <t>PIG-B03</t>
        </is>
      </c>
      <c r="C383" t="inlineStr">
        <is>
          <t>Pen 2</t>
        </is>
      </c>
      <c r="D383" t="inlineStr">
        <is>
          <t>Pig finisher</t>
        </is>
      </c>
      <c r="E383" t="n">
        <v>53.2</v>
      </c>
      <c r="F383" t="n">
        <v>128.4</v>
      </c>
      <c r="G383" t="n">
        <v>0</v>
      </c>
      <c r="H383" t="n">
        <v>0</v>
      </c>
      <c r="I383">
        <f>IFERROR(INDEX(P1_PIG_BATCHES!$E:$E,MATCH(B383,P1_PIG_BATCHES!$A:$A,0))-G383-H383,0)</f>
        <v/>
      </c>
      <c r="J383" t="n">
        <v>22.7</v>
      </c>
      <c r="K383" t="inlineStr">
        <is>
          <t>Dry</t>
        </is>
      </c>
      <c r="M383" t="inlineStr">
        <is>
          <t>S01</t>
        </is>
      </c>
    </row>
    <row r="384">
      <c r="A384" t="inlineStr">
        <is>
          <t>2026-02-20</t>
        </is>
      </c>
      <c r="B384" t="inlineStr">
        <is>
          <t>PIG-B03</t>
        </is>
      </c>
      <c r="C384" t="inlineStr">
        <is>
          <t>Pen 2</t>
        </is>
      </c>
      <c r="D384" t="inlineStr">
        <is>
          <t>Pig finisher</t>
        </is>
      </c>
      <c r="E384" t="n">
        <v>60.1</v>
      </c>
      <c r="F384" t="n">
        <v>167.3</v>
      </c>
      <c r="G384" t="n">
        <v>0</v>
      </c>
      <c r="H384" t="n">
        <v>0</v>
      </c>
      <c r="I384">
        <f>IFERROR(INDEX(P1_PIG_BATCHES!$E:$E,MATCH(B384,P1_PIG_BATCHES!$A:$A,0))-G384-H384,0)</f>
        <v/>
      </c>
      <c r="J384" t="n">
        <v>22.7</v>
      </c>
      <c r="K384" t="inlineStr">
        <is>
          <t>Dry</t>
        </is>
      </c>
      <c r="M384" t="inlineStr">
        <is>
          <t>S01</t>
        </is>
      </c>
    </row>
    <row r="385">
      <c r="A385" t="inlineStr">
        <is>
          <t>2026-02-21</t>
        </is>
      </c>
      <c r="B385" t="inlineStr">
        <is>
          <t>PIG-B03</t>
        </is>
      </c>
      <c r="C385" t="inlineStr">
        <is>
          <t>Pen 2</t>
        </is>
      </c>
      <c r="D385" t="inlineStr">
        <is>
          <t>Pig finisher</t>
        </is>
      </c>
      <c r="E385" t="n">
        <v>51.9</v>
      </c>
      <c r="F385" t="n">
        <v>122.9</v>
      </c>
      <c r="G385" t="n">
        <v>0</v>
      </c>
      <c r="H385" t="n">
        <v>0</v>
      </c>
      <c r="I385">
        <f>IFERROR(INDEX(P1_PIG_BATCHES!$E:$E,MATCH(B385,P1_PIG_BATCHES!$A:$A,0))-G385-H385,0)</f>
        <v/>
      </c>
      <c r="J385" t="n">
        <v>26</v>
      </c>
      <c r="K385" t="inlineStr">
        <is>
          <t>Dry</t>
        </is>
      </c>
      <c r="M385" t="inlineStr">
        <is>
          <t>S01</t>
        </is>
      </c>
    </row>
    <row r="386">
      <c r="A386" t="inlineStr">
        <is>
          <t>2026-02-22</t>
        </is>
      </c>
      <c r="B386" t="inlineStr">
        <is>
          <t>PIG-B03</t>
        </is>
      </c>
      <c r="C386" t="inlineStr">
        <is>
          <t>Pen 2</t>
        </is>
      </c>
      <c r="D386" t="inlineStr">
        <is>
          <t>Pig finisher</t>
        </is>
      </c>
      <c r="E386" t="n">
        <v>53.5</v>
      </c>
      <c r="F386" t="n">
        <v>125.1</v>
      </c>
      <c r="G386" t="n">
        <v>0</v>
      </c>
      <c r="H386" t="n">
        <v>0</v>
      </c>
      <c r="I386">
        <f>IFERROR(INDEX(P1_PIG_BATCHES!$E:$E,MATCH(B386,P1_PIG_BATCHES!$A:$A,0))-G386-H386,0)</f>
        <v/>
      </c>
      <c r="J386" t="n">
        <v>23.8</v>
      </c>
      <c r="K386" t="inlineStr">
        <is>
          <t>Dry</t>
        </is>
      </c>
      <c r="M386" t="inlineStr">
        <is>
          <t>S01</t>
        </is>
      </c>
    </row>
    <row r="387">
      <c r="A387" t="inlineStr">
        <is>
          <t>2026-02-23</t>
        </is>
      </c>
      <c r="B387" t="inlineStr">
        <is>
          <t>PIG-B03</t>
        </is>
      </c>
      <c r="C387" t="inlineStr">
        <is>
          <t>Pen 2</t>
        </is>
      </c>
      <c r="D387" t="inlineStr">
        <is>
          <t>Pig finisher</t>
        </is>
      </c>
      <c r="E387" t="n">
        <v>59.3</v>
      </c>
      <c r="F387" t="n">
        <v>175.7</v>
      </c>
      <c r="G387" t="n">
        <v>0</v>
      </c>
      <c r="H387" t="n">
        <v>0</v>
      </c>
      <c r="I387">
        <f>IFERROR(INDEX(P1_PIG_BATCHES!$E:$E,MATCH(B387,P1_PIG_BATCHES!$A:$A,0))-G387-H387,0)</f>
        <v/>
      </c>
      <c r="J387" t="n">
        <v>21.9</v>
      </c>
      <c r="K387" t="inlineStr">
        <is>
          <t>Dry</t>
        </is>
      </c>
      <c r="M387" t="inlineStr">
        <is>
          <t>S01</t>
        </is>
      </c>
    </row>
    <row r="388">
      <c r="A388" t="inlineStr">
        <is>
          <t>2026-02-24</t>
        </is>
      </c>
      <c r="B388" t="inlineStr">
        <is>
          <t>PIG-B03</t>
        </is>
      </c>
      <c r="C388" t="inlineStr">
        <is>
          <t>Pen 2</t>
        </is>
      </c>
      <c r="D388" t="inlineStr">
        <is>
          <t>Pig finisher</t>
        </is>
      </c>
      <c r="E388" t="n">
        <v>55.9</v>
      </c>
      <c r="F388" t="n">
        <v>128.8</v>
      </c>
      <c r="G388" t="n">
        <v>0</v>
      </c>
      <c r="H388" t="n">
        <v>0</v>
      </c>
      <c r="I388">
        <f>IFERROR(INDEX(P1_PIG_BATCHES!$E:$E,MATCH(B388,P1_PIG_BATCHES!$A:$A,0))-G388-H388,0)</f>
        <v/>
      </c>
      <c r="J388" t="n">
        <v>21.5</v>
      </c>
      <c r="K388" t="inlineStr">
        <is>
          <t>Dry</t>
        </is>
      </c>
      <c r="M388" t="inlineStr">
        <is>
          <t>S01</t>
        </is>
      </c>
    </row>
    <row r="389">
      <c r="A389" t="inlineStr">
        <is>
          <t>2026-02-25</t>
        </is>
      </c>
      <c r="B389" t="inlineStr">
        <is>
          <t>PIG-B03</t>
        </is>
      </c>
      <c r="C389" t="inlineStr">
        <is>
          <t>Pen 2</t>
        </is>
      </c>
      <c r="D389" t="inlineStr">
        <is>
          <t>Pig finisher</t>
        </is>
      </c>
      <c r="E389" t="n">
        <v>64.40000000000001</v>
      </c>
      <c r="F389" t="n">
        <v>177.3</v>
      </c>
      <c r="G389" t="n">
        <v>0</v>
      </c>
      <c r="H389" t="n">
        <v>0</v>
      </c>
      <c r="I389">
        <f>IFERROR(INDEX(P1_PIG_BATCHES!$E:$E,MATCH(B389,P1_PIG_BATCHES!$A:$A,0))-G389-H389,0)</f>
        <v/>
      </c>
      <c r="J389" t="n">
        <v>20.7</v>
      </c>
      <c r="K389" t="inlineStr">
        <is>
          <t>Dry</t>
        </is>
      </c>
      <c r="M389" t="inlineStr">
        <is>
          <t>S01</t>
        </is>
      </c>
    </row>
    <row r="390">
      <c r="A390" t="inlineStr">
        <is>
          <t>2026-02-26</t>
        </is>
      </c>
      <c r="B390" t="inlineStr">
        <is>
          <t>PIG-B03</t>
        </is>
      </c>
      <c r="C390" t="inlineStr">
        <is>
          <t>Pen 2</t>
        </is>
      </c>
      <c r="D390" t="inlineStr">
        <is>
          <t>Pig finisher</t>
        </is>
      </c>
      <c r="E390" t="n">
        <v>57.7</v>
      </c>
      <c r="F390" t="n">
        <v>131.6</v>
      </c>
      <c r="G390" t="n">
        <v>0</v>
      </c>
      <c r="H390" t="n">
        <v>0</v>
      </c>
      <c r="I390">
        <f>IFERROR(INDEX(P1_PIG_BATCHES!$E:$E,MATCH(B390,P1_PIG_BATCHES!$A:$A,0))-G390-H390,0)</f>
        <v/>
      </c>
      <c r="J390" t="n">
        <v>22.2</v>
      </c>
      <c r="K390" t="inlineStr">
        <is>
          <t>Dry</t>
        </is>
      </c>
      <c r="M390" t="inlineStr">
        <is>
          <t>S01</t>
        </is>
      </c>
    </row>
    <row r="391">
      <c r="A391" t="inlineStr">
        <is>
          <t>2026-02-27</t>
        </is>
      </c>
      <c r="B391" t="inlineStr">
        <is>
          <t>PIG-B03</t>
        </is>
      </c>
      <c r="C391" t="inlineStr">
        <is>
          <t>Pen 2</t>
        </is>
      </c>
      <c r="D391" t="inlineStr">
        <is>
          <t>Pig finisher</t>
        </is>
      </c>
      <c r="E391" t="n">
        <v>60.9</v>
      </c>
      <c r="F391" t="n">
        <v>166.8</v>
      </c>
      <c r="G391" t="n">
        <v>0</v>
      </c>
      <c r="H391" t="n">
        <v>0</v>
      </c>
      <c r="I391">
        <f>IFERROR(INDEX(P1_PIG_BATCHES!$E:$E,MATCH(B391,P1_PIG_BATCHES!$A:$A,0))-G391-H391,0)</f>
        <v/>
      </c>
      <c r="J391" t="n">
        <v>22.3</v>
      </c>
      <c r="K391" t="inlineStr">
        <is>
          <t>Dry</t>
        </is>
      </c>
      <c r="M391" t="inlineStr">
        <is>
          <t>S01</t>
        </is>
      </c>
    </row>
    <row r="392">
      <c r="A392" t="inlineStr">
        <is>
          <t>2026-02-28</t>
        </is>
      </c>
      <c r="B392" t="inlineStr">
        <is>
          <t>PIG-B03</t>
        </is>
      </c>
      <c r="C392" t="inlineStr">
        <is>
          <t>Pen 2</t>
        </is>
      </c>
      <c r="D392" t="inlineStr">
        <is>
          <t>Pig finisher</t>
        </is>
      </c>
      <c r="E392" t="n">
        <v>54.3</v>
      </c>
      <c r="F392" t="n">
        <v>137.1</v>
      </c>
      <c r="G392" t="n">
        <v>0</v>
      </c>
      <c r="H392" t="n">
        <v>0</v>
      </c>
      <c r="I392">
        <f>IFERROR(INDEX(P1_PIG_BATCHES!$E:$E,MATCH(B392,P1_PIG_BATCHES!$A:$A,0))-G392-H392,0)</f>
        <v/>
      </c>
      <c r="J392" t="n">
        <v>23.7</v>
      </c>
      <c r="K392" t="inlineStr">
        <is>
          <t>Dry</t>
        </is>
      </c>
      <c r="M392" t="inlineStr">
        <is>
          <t>S01</t>
        </is>
      </c>
    </row>
    <row r="393">
      <c r="A393" t="inlineStr">
        <is>
          <t>2026-03-01</t>
        </is>
      </c>
      <c r="B393" t="inlineStr">
        <is>
          <t>PIG-B03</t>
        </is>
      </c>
      <c r="C393" t="inlineStr">
        <is>
          <t>Pen 2</t>
        </is>
      </c>
      <c r="D393" t="inlineStr">
        <is>
          <t>Pig finisher</t>
        </is>
      </c>
      <c r="E393" t="n">
        <v>58</v>
      </c>
      <c r="F393" t="n">
        <v>149.1</v>
      </c>
      <c r="G393" t="n">
        <v>0</v>
      </c>
      <c r="H393" t="n">
        <v>0</v>
      </c>
      <c r="I393">
        <f>IFERROR(INDEX(P1_PIG_BATCHES!$E:$E,MATCH(B393,P1_PIG_BATCHES!$A:$A,0))-G393-H393,0)</f>
        <v/>
      </c>
      <c r="J393" t="n">
        <v>26.2</v>
      </c>
      <c r="K393" t="inlineStr">
        <is>
          <t>Dry</t>
        </is>
      </c>
      <c r="M393" t="inlineStr">
        <is>
          <t>S01</t>
        </is>
      </c>
    </row>
    <row r="394">
      <c r="A394" t="inlineStr">
        <is>
          <t>2026-03-02</t>
        </is>
      </c>
      <c r="B394" t="inlineStr">
        <is>
          <t>PIG-B03</t>
        </is>
      </c>
      <c r="C394" t="inlineStr">
        <is>
          <t>Pen 2</t>
        </is>
      </c>
      <c r="D394" t="inlineStr">
        <is>
          <t>Pig finisher</t>
        </is>
      </c>
      <c r="E394" t="n">
        <v>54.8</v>
      </c>
      <c r="F394" t="n">
        <v>156.6</v>
      </c>
      <c r="G394" t="n">
        <v>0</v>
      </c>
      <c r="H394" t="n">
        <v>0</v>
      </c>
      <c r="I394">
        <f>IFERROR(INDEX(P1_PIG_BATCHES!$E:$E,MATCH(B394,P1_PIG_BATCHES!$A:$A,0))-G394-H394,0)</f>
        <v/>
      </c>
      <c r="J394" t="n">
        <v>27.5</v>
      </c>
      <c r="K394" t="inlineStr">
        <is>
          <t>Dry</t>
        </is>
      </c>
      <c r="M394" t="inlineStr">
        <is>
          <t>S01</t>
        </is>
      </c>
    </row>
    <row r="395">
      <c r="A395" t="inlineStr">
        <is>
          <t>2026-03-03</t>
        </is>
      </c>
      <c r="B395" t="inlineStr">
        <is>
          <t>PIG-B03</t>
        </is>
      </c>
      <c r="C395" t="inlineStr">
        <is>
          <t>Pen 2</t>
        </is>
      </c>
      <c r="D395" t="inlineStr">
        <is>
          <t>Pig finisher</t>
        </is>
      </c>
      <c r="E395" t="n">
        <v>66.90000000000001</v>
      </c>
      <c r="F395" t="n">
        <v>167.3</v>
      </c>
      <c r="G395" t="n">
        <v>0</v>
      </c>
      <c r="H395" t="n">
        <v>0</v>
      </c>
      <c r="I395">
        <f>IFERROR(INDEX(P1_PIG_BATCHES!$E:$E,MATCH(B395,P1_PIG_BATCHES!$A:$A,0))-G395-H395,0)</f>
        <v/>
      </c>
      <c r="J395" t="n">
        <v>24.9</v>
      </c>
      <c r="K395" t="inlineStr">
        <is>
          <t>Dry</t>
        </is>
      </c>
      <c r="M395" t="inlineStr">
        <is>
          <t>S01</t>
        </is>
      </c>
    </row>
    <row r="396">
      <c r="A396" t="inlineStr">
        <is>
          <t>2026-03-04</t>
        </is>
      </c>
      <c r="B396" t="inlineStr">
        <is>
          <t>PIG-B03</t>
        </is>
      </c>
      <c r="C396" t="inlineStr">
        <is>
          <t>Pen 2</t>
        </is>
      </c>
      <c r="D396" t="inlineStr">
        <is>
          <t>Pig finisher</t>
        </is>
      </c>
      <c r="E396" t="n">
        <v>63.3</v>
      </c>
      <c r="F396" t="n">
        <v>152.7</v>
      </c>
      <c r="G396" t="n">
        <v>0</v>
      </c>
      <c r="H396" t="n">
        <v>0</v>
      </c>
      <c r="I396">
        <f>IFERROR(INDEX(P1_PIG_BATCHES!$E:$E,MATCH(B396,P1_PIG_BATCHES!$A:$A,0))-G396-H396,0)</f>
        <v/>
      </c>
      <c r="J396" t="n">
        <v>26.3</v>
      </c>
      <c r="K396" t="inlineStr">
        <is>
          <t>Dry</t>
        </is>
      </c>
      <c r="M396" t="inlineStr">
        <is>
          <t>S01</t>
        </is>
      </c>
    </row>
    <row r="397">
      <c r="A397" t="inlineStr">
        <is>
          <t>2026-03-05</t>
        </is>
      </c>
      <c r="B397" t="inlineStr">
        <is>
          <t>PIG-B03</t>
        </is>
      </c>
      <c r="C397" t="inlineStr">
        <is>
          <t>Pen 2</t>
        </is>
      </c>
      <c r="D397" t="inlineStr">
        <is>
          <t>Pig finisher</t>
        </is>
      </c>
      <c r="E397" t="n">
        <v>55.6</v>
      </c>
      <c r="F397" t="n">
        <v>162</v>
      </c>
      <c r="G397" t="n">
        <v>0</v>
      </c>
      <c r="H397" t="n">
        <v>0</v>
      </c>
      <c r="I397">
        <f>IFERROR(INDEX(P1_PIG_BATCHES!$E:$E,MATCH(B397,P1_PIG_BATCHES!$A:$A,0))-G397-H397,0)</f>
        <v/>
      </c>
      <c r="J397" t="n">
        <v>23.6</v>
      </c>
      <c r="K397" t="inlineStr">
        <is>
          <t>Dry</t>
        </is>
      </c>
      <c r="M397" t="inlineStr">
        <is>
          <t>S01</t>
        </is>
      </c>
    </row>
    <row r="398">
      <c r="A398" t="inlineStr">
        <is>
          <t>2026-03-06</t>
        </is>
      </c>
      <c r="B398" t="inlineStr">
        <is>
          <t>PIG-B03</t>
        </is>
      </c>
      <c r="C398" t="inlineStr">
        <is>
          <t>Pen 2</t>
        </is>
      </c>
      <c r="D398" t="inlineStr">
        <is>
          <t>Pig finisher</t>
        </is>
      </c>
      <c r="E398" t="n">
        <v>68.09999999999999</v>
      </c>
      <c r="F398" t="n">
        <v>194.6</v>
      </c>
      <c r="G398" t="n">
        <v>0</v>
      </c>
      <c r="H398" t="n">
        <v>0</v>
      </c>
      <c r="I398">
        <f>IFERROR(INDEX(P1_PIG_BATCHES!$E:$E,MATCH(B398,P1_PIG_BATCHES!$A:$A,0))-G398-H398,0)</f>
        <v/>
      </c>
      <c r="J398" t="n">
        <v>22.8</v>
      </c>
      <c r="K398" t="inlineStr">
        <is>
          <t>Dry</t>
        </is>
      </c>
      <c r="M398" t="inlineStr">
        <is>
          <t>S01</t>
        </is>
      </c>
    </row>
    <row r="399">
      <c r="A399" t="inlineStr">
        <is>
          <t>2026-03-07</t>
        </is>
      </c>
      <c r="B399" t="inlineStr">
        <is>
          <t>PIG-B03</t>
        </is>
      </c>
      <c r="C399" t="inlineStr">
        <is>
          <t>Pen 2</t>
        </is>
      </c>
      <c r="D399" t="inlineStr">
        <is>
          <t>Pig finisher</t>
        </is>
      </c>
      <c r="E399" t="n">
        <v>61.5</v>
      </c>
      <c r="F399" t="n">
        <v>144</v>
      </c>
      <c r="G399" t="n">
        <v>0</v>
      </c>
      <c r="H399" t="n">
        <v>0</v>
      </c>
      <c r="I399">
        <f>IFERROR(INDEX(P1_PIG_BATCHES!$E:$E,MATCH(B399,P1_PIG_BATCHES!$A:$A,0))-G399-H399,0)</f>
        <v/>
      </c>
      <c r="J399" t="n">
        <v>24.5</v>
      </c>
      <c r="K399" t="inlineStr">
        <is>
          <t>Dry</t>
        </is>
      </c>
      <c r="M399" t="inlineStr">
        <is>
          <t>S01</t>
        </is>
      </c>
    </row>
    <row r="400">
      <c r="A400" t="inlineStr">
        <is>
          <t>2026-03-08</t>
        </is>
      </c>
      <c r="B400" t="inlineStr">
        <is>
          <t>PIG-B03</t>
        </is>
      </c>
      <c r="C400" t="inlineStr">
        <is>
          <t>Pen 2</t>
        </is>
      </c>
      <c r="D400" t="inlineStr">
        <is>
          <t>Pig finisher</t>
        </is>
      </c>
      <c r="E400" t="n">
        <v>60.5</v>
      </c>
      <c r="F400" t="n">
        <v>135.1</v>
      </c>
      <c r="G400" t="n">
        <v>0</v>
      </c>
      <c r="H400" t="n">
        <v>0</v>
      </c>
      <c r="I400">
        <f>IFERROR(INDEX(P1_PIG_BATCHES!$E:$E,MATCH(B400,P1_PIG_BATCHES!$A:$A,0))-G400-H400,0)</f>
        <v/>
      </c>
      <c r="J400" t="n">
        <v>25.3</v>
      </c>
      <c r="K400" t="inlineStr">
        <is>
          <t>Dry</t>
        </is>
      </c>
      <c r="M400" t="inlineStr">
        <is>
          <t>S01</t>
        </is>
      </c>
    </row>
    <row r="401">
      <c r="A401" t="inlineStr">
        <is>
          <t>2026-03-09</t>
        </is>
      </c>
      <c r="B401" t="inlineStr">
        <is>
          <t>PIG-B03</t>
        </is>
      </c>
      <c r="C401" t="inlineStr">
        <is>
          <t>Pen 2</t>
        </is>
      </c>
      <c r="D401" t="inlineStr">
        <is>
          <t>Pig finisher</t>
        </is>
      </c>
      <c r="E401" t="n">
        <v>57.8</v>
      </c>
      <c r="F401" t="n">
        <v>136.2</v>
      </c>
      <c r="G401" t="n">
        <v>0</v>
      </c>
      <c r="H401" t="n">
        <v>0</v>
      </c>
      <c r="I401">
        <f>IFERROR(INDEX(P1_PIG_BATCHES!$E:$E,MATCH(B401,P1_PIG_BATCHES!$A:$A,0))-G401-H401,0)</f>
        <v/>
      </c>
      <c r="J401" t="n">
        <v>22.4</v>
      </c>
      <c r="K401" t="inlineStr">
        <is>
          <t>Dry</t>
        </is>
      </c>
      <c r="M401" t="inlineStr">
        <is>
          <t>S01</t>
        </is>
      </c>
    </row>
    <row r="402">
      <c r="A402" t="inlineStr">
        <is>
          <t>2026-03-10</t>
        </is>
      </c>
      <c r="B402" t="inlineStr">
        <is>
          <t>PIG-B03</t>
        </is>
      </c>
      <c r="C402" t="inlineStr">
        <is>
          <t>Pen 2</t>
        </is>
      </c>
      <c r="D402" t="inlineStr">
        <is>
          <t>Pig finisher</t>
        </is>
      </c>
      <c r="E402" t="n">
        <v>55.2</v>
      </c>
      <c r="F402" t="n">
        <v>148.7</v>
      </c>
      <c r="G402" t="n">
        <v>0</v>
      </c>
      <c r="H402" t="n">
        <v>0</v>
      </c>
      <c r="I402">
        <f>IFERROR(INDEX(P1_PIG_BATCHES!$E:$E,MATCH(B402,P1_PIG_BATCHES!$A:$A,0))-G402-H402,0)</f>
        <v/>
      </c>
      <c r="J402" t="n">
        <v>22.2</v>
      </c>
      <c r="K402" t="inlineStr">
        <is>
          <t>Dry</t>
        </is>
      </c>
      <c r="M402" t="inlineStr">
        <is>
          <t>S01</t>
        </is>
      </c>
    </row>
    <row r="403">
      <c r="A403" t="inlineStr">
        <is>
          <t>2026-03-11</t>
        </is>
      </c>
      <c r="B403" t="inlineStr">
        <is>
          <t>PIG-B03</t>
        </is>
      </c>
      <c r="C403" t="inlineStr">
        <is>
          <t>Pen 2</t>
        </is>
      </c>
      <c r="D403" t="inlineStr">
        <is>
          <t>Pig finisher</t>
        </is>
      </c>
      <c r="E403" t="n">
        <v>60.8</v>
      </c>
      <c r="F403" t="n">
        <v>160.5</v>
      </c>
      <c r="G403" t="n">
        <v>0</v>
      </c>
      <c r="H403" t="n">
        <v>0</v>
      </c>
      <c r="I403">
        <f>IFERROR(INDEX(P1_PIG_BATCHES!$E:$E,MATCH(B403,P1_PIG_BATCHES!$A:$A,0))-G403-H403,0)</f>
        <v/>
      </c>
      <c r="J403" t="n">
        <v>20.8</v>
      </c>
      <c r="K403" t="inlineStr">
        <is>
          <t>Dry</t>
        </is>
      </c>
      <c r="M403" t="inlineStr">
        <is>
          <t>S01</t>
        </is>
      </c>
    </row>
    <row r="404">
      <c r="A404" t="inlineStr">
        <is>
          <t>2026-03-12</t>
        </is>
      </c>
      <c r="B404" t="inlineStr">
        <is>
          <t>PIG-B03</t>
        </is>
      </c>
      <c r="C404" t="inlineStr">
        <is>
          <t>Pen 2</t>
        </is>
      </c>
      <c r="D404" t="inlineStr">
        <is>
          <t>Pig finisher</t>
        </is>
      </c>
      <c r="E404" t="n">
        <v>56.7</v>
      </c>
      <c r="F404" t="n">
        <v>134.1</v>
      </c>
      <c r="G404" t="n">
        <v>0</v>
      </c>
      <c r="H404" t="n">
        <v>0</v>
      </c>
      <c r="I404">
        <f>IFERROR(INDEX(P1_PIG_BATCHES!$E:$E,MATCH(B404,P1_PIG_BATCHES!$A:$A,0))-G404-H404,0)</f>
        <v/>
      </c>
      <c r="J404" t="n">
        <v>26.8</v>
      </c>
      <c r="K404" t="inlineStr">
        <is>
          <t>Dry</t>
        </is>
      </c>
      <c r="M404" t="inlineStr">
        <is>
          <t>S01</t>
        </is>
      </c>
    </row>
    <row r="405">
      <c r="A405" t="inlineStr">
        <is>
          <t>2026-03-13</t>
        </is>
      </c>
      <c r="B405" t="inlineStr">
        <is>
          <t>PIG-B03</t>
        </is>
      </c>
      <c r="C405" t="inlineStr">
        <is>
          <t>Pen 2</t>
        </is>
      </c>
      <c r="D405" t="inlineStr">
        <is>
          <t>Pig finisher</t>
        </is>
      </c>
      <c r="E405" t="n">
        <v>64</v>
      </c>
      <c r="F405" t="n">
        <v>181.5</v>
      </c>
      <c r="G405" t="n">
        <v>0</v>
      </c>
      <c r="H405" t="n">
        <v>0</v>
      </c>
      <c r="I405">
        <f>IFERROR(INDEX(P1_PIG_BATCHES!$E:$E,MATCH(B405,P1_PIG_BATCHES!$A:$A,0))-G405-H405,0)</f>
        <v/>
      </c>
      <c r="J405" t="n">
        <v>26.1</v>
      </c>
      <c r="K405" t="inlineStr">
        <is>
          <t>Dry</t>
        </is>
      </c>
      <c r="M405" t="inlineStr">
        <is>
          <t>S01</t>
        </is>
      </c>
    </row>
    <row r="406">
      <c r="A406" t="inlineStr">
        <is>
          <t>2026-03-14</t>
        </is>
      </c>
      <c r="B406" t="inlineStr">
        <is>
          <t>PIG-B03</t>
        </is>
      </c>
      <c r="C406" t="inlineStr">
        <is>
          <t>Pen 2</t>
        </is>
      </c>
      <c r="D406" t="inlineStr">
        <is>
          <t>Pig finisher</t>
        </is>
      </c>
      <c r="E406" t="n">
        <v>66.3</v>
      </c>
      <c r="F406" t="n">
        <v>165.1</v>
      </c>
      <c r="G406" t="n">
        <v>0</v>
      </c>
      <c r="H406" t="n">
        <v>0</v>
      </c>
      <c r="I406">
        <f>IFERROR(INDEX(P1_PIG_BATCHES!$E:$E,MATCH(B406,P1_PIG_BATCHES!$A:$A,0))-G406-H406,0)</f>
        <v/>
      </c>
      <c r="J406" t="n">
        <v>24.3</v>
      </c>
      <c r="K406" t="inlineStr">
        <is>
          <t>Dry</t>
        </is>
      </c>
      <c r="M406" t="inlineStr">
        <is>
          <t>S01</t>
        </is>
      </c>
    </row>
    <row r="407">
      <c r="A407" t="inlineStr">
        <is>
          <t>2026-03-15</t>
        </is>
      </c>
      <c r="B407" t="inlineStr">
        <is>
          <t>PIG-B03</t>
        </is>
      </c>
      <c r="C407" t="inlineStr">
        <is>
          <t>Pen 2</t>
        </is>
      </c>
      <c r="D407" t="inlineStr">
        <is>
          <t>Pig finisher</t>
        </is>
      </c>
      <c r="E407" t="n">
        <v>68.3</v>
      </c>
      <c r="F407" t="n">
        <v>177.7</v>
      </c>
      <c r="G407" t="n">
        <v>0</v>
      </c>
      <c r="H407" t="n">
        <v>0</v>
      </c>
      <c r="I407">
        <f>IFERROR(INDEX(P1_PIG_BATCHES!$E:$E,MATCH(B407,P1_PIG_BATCHES!$A:$A,0))-G407-H407,0)</f>
        <v/>
      </c>
      <c r="J407" t="n">
        <v>23.2</v>
      </c>
      <c r="K407" t="inlineStr">
        <is>
          <t>Dry</t>
        </is>
      </c>
      <c r="M407" t="inlineStr">
        <is>
          <t>S01</t>
        </is>
      </c>
    </row>
    <row r="408">
      <c r="A408" t="inlineStr">
        <is>
          <t>2026-03-16</t>
        </is>
      </c>
      <c r="B408" t="inlineStr">
        <is>
          <t>PIG-B03</t>
        </is>
      </c>
      <c r="C408" t="inlineStr">
        <is>
          <t>Pen 2</t>
        </is>
      </c>
      <c r="D408" t="inlineStr">
        <is>
          <t>Pig finisher</t>
        </is>
      </c>
      <c r="E408" t="n">
        <v>59.4</v>
      </c>
      <c r="F408" t="n">
        <v>141.4</v>
      </c>
      <c r="G408" t="n">
        <v>0</v>
      </c>
      <c r="H408" t="n">
        <v>0</v>
      </c>
      <c r="I408">
        <f>IFERROR(INDEX(P1_PIG_BATCHES!$E:$E,MATCH(B408,P1_PIG_BATCHES!$A:$A,0))-G408-H408,0)</f>
        <v/>
      </c>
      <c r="J408" t="n">
        <v>26.8</v>
      </c>
      <c r="K408" t="inlineStr">
        <is>
          <t>Dry</t>
        </is>
      </c>
      <c r="M408" t="inlineStr">
        <is>
          <t>S01</t>
        </is>
      </c>
    </row>
    <row r="409">
      <c r="A409" t="inlineStr">
        <is>
          <t>2026-03-17</t>
        </is>
      </c>
      <c r="B409" t="inlineStr">
        <is>
          <t>PIG-B03</t>
        </is>
      </c>
      <c r="C409" t="inlineStr">
        <is>
          <t>Pen 2</t>
        </is>
      </c>
      <c r="D409" t="inlineStr">
        <is>
          <t>Pig finisher</t>
        </is>
      </c>
      <c r="E409" t="n">
        <v>55.5</v>
      </c>
      <c r="F409" t="n">
        <v>165.6</v>
      </c>
      <c r="G409" t="n">
        <v>0</v>
      </c>
      <c r="H409" t="n">
        <v>0</v>
      </c>
      <c r="I409">
        <f>IFERROR(INDEX(P1_PIG_BATCHES!$E:$E,MATCH(B409,P1_PIG_BATCHES!$A:$A,0))-G409-H409,0)</f>
        <v/>
      </c>
      <c r="J409" t="n">
        <v>24.2</v>
      </c>
      <c r="K409" t="inlineStr">
        <is>
          <t>Dry</t>
        </is>
      </c>
      <c r="M409" t="inlineStr">
        <is>
          <t>S01</t>
        </is>
      </c>
    </row>
    <row r="410">
      <c r="A410" t="inlineStr">
        <is>
          <t>2026-03-18</t>
        </is>
      </c>
      <c r="B410" t="inlineStr">
        <is>
          <t>PIG-B03</t>
        </is>
      </c>
      <c r="C410" t="inlineStr">
        <is>
          <t>Pen 2</t>
        </is>
      </c>
      <c r="D410" t="inlineStr">
        <is>
          <t>Pig finisher</t>
        </is>
      </c>
      <c r="E410" t="n">
        <v>69.5</v>
      </c>
      <c r="F410" t="n">
        <v>206.4</v>
      </c>
      <c r="G410" t="n">
        <v>0</v>
      </c>
      <c r="H410" t="n">
        <v>0</v>
      </c>
      <c r="I410">
        <f>IFERROR(INDEX(P1_PIG_BATCHES!$E:$E,MATCH(B410,P1_PIG_BATCHES!$A:$A,0))-G410-H410,0)</f>
        <v/>
      </c>
      <c r="J410" t="n">
        <v>21.1</v>
      </c>
      <c r="K410" t="inlineStr">
        <is>
          <t>Dry</t>
        </is>
      </c>
      <c r="M410" t="inlineStr">
        <is>
          <t>S01</t>
        </is>
      </c>
    </row>
    <row r="411">
      <c r="A411" t="inlineStr">
        <is>
          <t>2026-03-19</t>
        </is>
      </c>
      <c r="B411" t="inlineStr">
        <is>
          <t>PIG-B03</t>
        </is>
      </c>
      <c r="C411" t="inlineStr">
        <is>
          <t>Pen 2</t>
        </is>
      </c>
      <c r="D411" t="inlineStr">
        <is>
          <t>Pig finisher</t>
        </is>
      </c>
      <c r="E411" t="n">
        <v>58.6</v>
      </c>
      <c r="F411" t="n">
        <v>166.8</v>
      </c>
      <c r="G411" t="n">
        <v>0</v>
      </c>
      <c r="H411" t="n">
        <v>0</v>
      </c>
      <c r="I411">
        <f>IFERROR(INDEX(P1_PIG_BATCHES!$E:$E,MATCH(B411,P1_PIG_BATCHES!$A:$A,0))-G411-H411,0)</f>
        <v/>
      </c>
      <c r="J411" t="n">
        <v>27</v>
      </c>
      <c r="K411" t="inlineStr">
        <is>
          <t>Dry</t>
        </is>
      </c>
      <c r="M411" t="inlineStr">
        <is>
          <t>S01</t>
        </is>
      </c>
    </row>
    <row r="412">
      <c r="A412" t="inlineStr">
        <is>
          <t>2026-03-20</t>
        </is>
      </c>
      <c r="B412" t="inlineStr">
        <is>
          <t>PIG-B03</t>
        </is>
      </c>
      <c r="C412" t="inlineStr">
        <is>
          <t>Pen 2</t>
        </is>
      </c>
      <c r="D412" t="inlineStr">
        <is>
          <t>Pig finisher</t>
        </is>
      </c>
      <c r="E412" t="n">
        <v>69.5</v>
      </c>
      <c r="F412" t="n">
        <v>165.5</v>
      </c>
      <c r="G412" t="n">
        <v>0</v>
      </c>
      <c r="H412" t="n">
        <v>0</v>
      </c>
      <c r="I412">
        <f>IFERROR(INDEX(P1_PIG_BATCHES!$E:$E,MATCH(B412,P1_PIG_BATCHES!$A:$A,0))-G412-H412,0)</f>
        <v/>
      </c>
      <c r="J412" t="n">
        <v>26.5</v>
      </c>
      <c r="K412" t="inlineStr">
        <is>
          <t>Dry</t>
        </is>
      </c>
      <c r="M412" t="inlineStr">
        <is>
          <t>S01</t>
        </is>
      </c>
    </row>
    <row r="413">
      <c r="A413" t="inlineStr">
        <is>
          <t>2026-05-12</t>
        </is>
      </c>
      <c r="B413" t="inlineStr">
        <is>
          <t>PIG-B04</t>
        </is>
      </c>
      <c r="C413" t="inlineStr">
        <is>
          <t>Pen 2</t>
        </is>
      </c>
      <c r="D413" t="inlineStr">
        <is>
          <t>Pig starter</t>
        </is>
      </c>
      <c r="E413" t="n">
        <v>4.1</v>
      </c>
      <c r="F413" t="n">
        <v>11.7</v>
      </c>
      <c r="G413" t="n">
        <v>0</v>
      </c>
      <c r="H413" t="n">
        <v>0</v>
      </c>
      <c r="I413">
        <f>IFERROR(INDEX(P1_PIG_BATCHES!$E:$E,MATCH(B413,P1_PIG_BATCHES!$A:$A,0))-G413-H413,0)</f>
        <v/>
      </c>
      <c r="J413" t="n">
        <v>26.5</v>
      </c>
      <c r="K413" t="inlineStr">
        <is>
          <t>Dry</t>
        </is>
      </c>
      <c r="M413" t="inlineStr">
        <is>
          <t>S01</t>
        </is>
      </c>
    </row>
    <row r="414">
      <c r="A414" t="inlineStr">
        <is>
          <t>2026-05-13</t>
        </is>
      </c>
      <c r="B414" t="inlineStr">
        <is>
          <t>PIG-B04</t>
        </is>
      </c>
      <c r="C414" t="inlineStr">
        <is>
          <t>Pen 2</t>
        </is>
      </c>
      <c r="D414" t="inlineStr">
        <is>
          <t>Pig starter</t>
        </is>
      </c>
      <c r="E414" t="n">
        <v>4.6</v>
      </c>
      <c r="F414" t="n">
        <v>13.1</v>
      </c>
      <c r="G414" t="n">
        <v>0</v>
      </c>
      <c r="H414" t="n">
        <v>0</v>
      </c>
      <c r="I414">
        <f>IFERROR(INDEX(P1_PIG_BATCHES!$E:$E,MATCH(B414,P1_PIG_BATCHES!$A:$A,0))-G414-H414,0)</f>
        <v/>
      </c>
      <c r="J414" t="n">
        <v>25.4</v>
      </c>
      <c r="K414" t="inlineStr">
        <is>
          <t>Dry</t>
        </is>
      </c>
      <c r="M414" t="inlineStr">
        <is>
          <t>S01</t>
        </is>
      </c>
    </row>
    <row r="415">
      <c r="A415" t="inlineStr">
        <is>
          <t>2026-05-14</t>
        </is>
      </c>
      <c r="B415" t="inlineStr">
        <is>
          <t>PIG-B04</t>
        </is>
      </c>
      <c r="C415" t="inlineStr">
        <is>
          <t>Pen 2</t>
        </is>
      </c>
      <c r="D415" t="inlineStr">
        <is>
          <t>Pig starter</t>
        </is>
      </c>
      <c r="E415" t="n">
        <v>4.2</v>
      </c>
      <c r="F415" t="n">
        <v>11.6</v>
      </c>
      <c r="G415" t="n">
        <v>0</v>
      </c>
      <c r="H415" t="n">
        <v>0</v>
      </c>
      <c r="I415">
        <f>IFERROR(INDEX(P1_PIG_BATCHES!$E:$E,MATCH(B415,P1_PIG_BATCHES!$A:$A,0))-G415-H415,0)</f>
        <v/>
      </c>
      <c r="J415" t="n">
        <v>27.2</v>
      </c>
      <c r="K415" t="inlineStr">
        <is>
          <t>Dry</t>
        </is>
      </c>
      <c r="M415" t="inlineStr">
        <is>
          <t>S01</t>
        </is>
      </c>
    </row>
    <row r="416">
      <c r="A416" t="inlineStr">
        <is>
          <t>2026-05-15</t>
        </is>
      </c>
      <c r="B416" t="inlineStr">
        <is>
          <t>PIG-B04</t>
        </is>
      </c>
      <c r="C416" t="inlineStr">
        <is>
          <t>Pen 2</t>
        </is>
      </c>
      <c r="D416" t="inlineStr">
        <is>
          <t>Pig starter</t>
        </is>
      </c>
      <c r="E416" t="n">
        <v>5</v>
      </c>
      <c r="F416" t="n">
        <v>11.8</v>
      </c>
      <c r="G416" t="n">
        <v>0</v>
      </c>
      <c r="H416" t="n">
        <v>0</v>
      </c>
      <c r="I416">
        <f>IFERROR(INDEX(P1_PIG_BATCHES!$E:$E,MATCH(B416,P1_PIG_BATCHES!$A:$A,0))-G416-H416,0)</f>
        <v/>
      </c>
      <c r="J416" t="n">
        <v>27.5</v>
      </c>
      <c r="K416" t="inlineStr">
        <is>
          <t>Dry</t>
        </is>
      </c>
      <c r="M416" t="inlineStr">
        <is>
          <t>S01</t>
        </is>
      </c>
    </row>
    <row r="417">
      <c r="A417" t="inlineStr">
        <is>
          <t>2026-05-16</t>
        </is>
      </c>
      <c r="B417" t="inlineStr">
        <is>
          <t>PIG-B04</t>
        </is>
      </c>
      <c r="C417" t="inlineStr">
        <is>
          <t>Pen 2</t>
        </is>
      </c>
      <c r="D417" t="inlineStr">
        <is>
          <t>Pig starter</t>
        </is>
      </c>
      <c r="E417" t="n">
        <v>5.2</v>
      </c>
      <c r="F417" t="n">
        <v>12.7</v>
      </c>
      <c r="G417" t="n">
        <v>0</v>
      </c>
      <c r="H417" t="n">
        <v>0</v>
      </c>
      <c r="I417">
        <f>IFERROR(INDEX(P1_PIG_BATCHES!$E:$E,MATCH(B417,P1_PIG_BATCHES!$A:$A,0))-G417-H417,0)</f>
        <v/>
      </c>
      <c r="J417" t="n">
        <v>23.9</v>
      </c>
      <c r="K417" t="inlineStr">
        <is>
          <t>Dry</t>
        </is>
      </c>
      <c r="M417" t="inlineStr">
        <is>
          <t>S01</t>
        </is>
      </c>
    </row>
    <row r="418">
      <c r="A418" t="inlineStr">
        <is>
          <t>2026-05-17</t>
        </is>
      </c>
      <c r="B418" t="inlineStr">
        <is>
          <t>PIG-B04</t>
        </is>
      </c>
      <c r="C418" t="inlineStr">
        <is>
          <t>Pen 2</t>
        </is>
      </c>
      <c r="D418" t="inlineStr">
        <is>
          <t>Pig starter</t>
        </is>
      </c>
      <c r="E418" t="n">
        <v>5.1</v>
      </c>
      <c r="F418" t="n">
        <v>12.1</v>
      </c>
      <c r="G418" t="n">
        <v>0</v>
      </c>
      <c r="H418" t="n">
        <v>0</v>
      </c>
      <c r="I418">
        <f>IFERROR(INDEX(P1_PIG_BATCHES!$E:$E,MATCH(B418,P1_PIG_BATCHES!$A:$A,0))-G418-H418,0)</f>
        <v/>
      </c>
      <c r="J418" t="n">
        <v>24.2</v>
      </c>
      <c r="K418" t="inlineStr">
        <is>
          <t>Dry</t>
        </is>
      </c>
      <c r="M418" t="inlineStr">
        <is>
          <t>S01</t>
        </is>
      </c>
    </row>
    <row r="419">
      <c r="A419" t="inlineStr">
        <is>
          <t>2026-05-18</t>
        </is>
      </c>
      <c r="B419" t="inlineStr">
        <is>
          <t>PIG-B04</t>
        </is>
      </c>
      <c r="C419" t="inlineStr">
        <is>
          <t>Pen 2</t>
        </is>
      </c>
      <c r="D419" t="inlineStr">
        <is>
          <t>Pig starter</t>
        </is>
      </c>
      <c r="E419" t="n">
        <v>5.8</v>
      </c>
      <c r="F419" t="n">
        <v>13.7</v>
      </c>
      <c r="G419" t="n">
        <v>1</v>
      </c>
      <c r="H419" t="n">
        <v>0</v>
      </c>
      <c r="I419">
        <f>IFERROR(INDEX(P1_PIG_BATCHES!$E:$E,MATCH(B419,P1_PIG_BATCHES!$A:$A,0))-G419-H419,0)</f>
        <v/>
      </c>
      <c r="J419" t="n">
        <v>21.3</v>
      </c>
      <c r="K419" t="inlineStr">
        <is>
          <t>Dry</t>
        </is>
      </c>
      <c r="M419" t="inlineStr">
        <is>
          <t>S01</t>
        </is>
      </c>
    </row>
    <row r="420">
      <c r="A420" t="inlineStr">
        <is>
          <t>2026-05-19</t>
        </is>
      </c>
      <c r="B420" t="inlineStr">
        <is>
          <t>PIG-B04</t>
        </is>
      </c>
      <c r="C420" t="inlineStr">
        <is>
          <t>Pen 2</t>
        </is>
      </c>
      <c r="D420" t="inlineStr">
        <is>
          <t>Pig starter</t>
        </is>
      </c>
      <c r="E420" t="n">
        <v>6</v>
      </c>
      <c r="F420" t="n">
        <v>17.2</v>
      </c>
      <c r="G420" t="n">
        <v>0</v>
      </c>
      <c r="H420" t="n">
        <v>0</v>
      </c>
      <c r="I420">
        <f>IFERROR(INDEX(P1_PIG_BATCHES!$E:$E,MATCH(B420,P1_PIG_BATCHES!$A:$A,0))-G420-H420,0)</f>
        <v/>
      </c>
      <c r="J420" t="n">
        <v>22.7</v>
      </c>
      <c r="K420" t="inlineStr">
        <is>
          <t>Dry</t>
        </is>
      </c>
      <c r="M420" t="inlineStr">
        <is>
          <t>S01</t>
        </is>
      </c>
    </row>
    <row r="421">
      <c r="A421" t="inlineStr">
        <is>
          <t>2026-05-20</t>
        </is>
      </c>
      <c r="B421" t="inlineStr">
        <is>
          <t>PIG-B04</t>
        </is>
      </c>
      <c r="C421" t="inlineStr">
        <is>
          <t>Pen 2</t>
        </is>
      </c>
      <c r="D421" t="inlineStr">
        <is>
          <t>Pig starter</t>
        </is>
      </c>
      <c r="E421" t="n">
        <v>5.8</v>
      </c>
      <c r="F421" t="n">
        <v>17</v>
      </c>
      <c r="G421" t="n">
        <v>0</v>
      </c>
      <c r="H421" t="n">
        <v>0</v>
      </c>
      <c r="I421">
        <f>IFERROR(INDEX(P1_PIG_BATCHES!$E:$E,MATCH(B421,P1_PIG_BATCHES!$A:$A,0))-G421-H421,0)</f>
        <v/>
      </c>
      <c r="J421" t="n">
        <v>26</v>
      </c>
      <c r="K421" t="inlineStr">
        <is>
          <t>Dry</t>
        </is>
      </c>
      <c r="M421" t="inlineStr">
        <is>
          <t>S01</t>
        </is>
      </c>
    </row>
    <row r="422">
      <c r="A422" t="inlineStr">
        <is>
          <t>2026-05-21</t>
        </is>
      </c>
      <c r="B422" t="inlineStr">
        <is>
          <t>PIG-B04</t>
        </is>
      </c>
      <c r="C422" t="inlineStr">
        <is>
          <t>Pen 2</t>
        </is>
      </c>
      <c r="D422" t="inlineStr">
        <is>
          <t>Pig starter</t>
        </is>
      </c>
      <c r="E422" t="n">
        <v>6.4</v>
      </c>
      <c r="F422" t="n">
        <v>18.9</v>
      </c>
      <c r="G422" t="n">
        <v>0</v>
      </c>
      <c r="H422" t="n">
        <v>0</v>
      </c>
      <c r="I422">
        <f>IFERROR(INDEX(P1_PIG_BATCHES!$E:$E,MATCH(B422,P1_PIG_BATCHES!$A:$A,0))-G422-H422,0)</f>
        <v/>
      </c>
      <c r="J422" t="n">
        <v>23.1</v>
      </c>
      <c r="K422" t="inlineStr">
        <is>
          <t>Dry</t>
        </is>
      </c>
      <c r="M422" t="inlineStr">
        <is>
          <t>S01</t>
        </is>
      </c>
    </row>
    <row r="423">
      <c r="A423" t="inlineStr">
        <is>
          <t>2026-05-22</t>
        </is>
      </c>
      <c r="B423" t="inlineStr">
        <is>
          <t>PIG-B04</t>
        </is>
      </c>
      <c r="C423" t="inlineStr">
        <is>
          <t>Pen 2</t>
        </is>
      </c>
      <c r="D423" t="inlineStr">
        <is>
          <t>Pig starter</t>
        </is>
      </c>
      <c r="E423" t="n">
        <v>6</v>
      </c>
      <c r="F423" t="n">
        <v>13.7</v>
      </c>
      <c r="G423" t="n">
        <v>0</v>
      </c>
      <c r="H423" t="n">
        <v>0</v>
      </c>
      <c r="I423">
        <f>IFERROR(INDEX(P1_PIG_BATCHES!$E:$E,MATCH(B423,P1_PIG_BATCHES!$A:$A,0))-G423-H423,0)</f>
        <v/>
      </c>
      <c r="J423" t="n">
        <v>22.6</v>
      </c>
      <c r="K423" t="inlineStr">
        <is>
          <t>Dry</t>
        </is>
      </c>
      <c r="M423" t="inlineStr">
        <is>
          <t>S01</t>
        </is>
      </c>
    </row>
    <row r="424">
      <c r="A424" t="inlineStr">
        <is>
          <t>2026-05-23</t>
        </is>
      </c>
      <c r="B424" t="inlineStr">
        <is>
          <t>PIG-B04</t>
        </is>
      </c>
      <c r="C424" t="inlineStr">
        <is>
          <t>Pen 2</t>
        </is>
      </c>
      <c r="D424" t="inlineStr">
        <is>
          <t>Pig starter</t>
        </is>
      </c>
      <c r="E424" t="n">
        <v>5.9</v>
      </c>
      <c r="F424" t="n">
        <v>17.4</v>
      </c>
      <c r="G424" t="n">
        <v>0</v>
      </c>
      <c r="H424" t="n">
        <v>0</v>
      </c>
      <c r="I424">
        <f>IFERROR(INDEX(P1_PIG_BATCHES!$E:$E,MATCH(B424,P1_PIG_BATCHES!$A:$A,0))-G424-H424,0)</f>
        <v/>
      </c>
      <c r="J424" t="n">
        <v>26.1</v>
      </c>
      <c r="K424" t="inlineStr">
        <is>
          <t>Dry</t>
        </is>
      </c>
      <c r="M424" t="inlineStr">
        <is>
          <t>S01</t>
        </is>
      </c>
    </row>
    <row r="425">
      <c r="A425" t="inlineStr">
        <is>
          <t>2026-05-24</t>
        </is>
      </c>
      <c r="B425" t="inlineStr">
        <is>
          <t>PIG-B04</t>
        </is>
      </c>
      <c r="C425" t="inlineStr">
        <is>
          <t>Pen 2</t>
        </is>
      </c>
      <c r="D425" t="inlineStr">
        <is>
          <t>Pig starter</t>
        </is>
      </c>
      <c r="E425" t="n">
        <v>6.9</v>
      </c>
      <c r="F425" t="n">
        <v>16.2</v>
      </c>
      <c r="G425" t="n">
        <v>0</v>
      </c>
      <c r="H425" t="n">
        <v>0</v>
      </c>
      <c r="I425">
        <f>IFERROR(INDEX(P1_PIG_BATCHES!$E:$E,MATCH(B425,P1_PIG_BATCHES!$A:$A,0))-G425-H425,0)</f>
        <v/>
      </c>
      <c r="J425" t="n">
        <v>27.4</v>
      </c>
      <c r="K425" t="inlineStr">
        <is>
          <t>Dry</t>
        </is>
      </c>
      <c r="M425" t="inlineStr">
        <is>
          <t>S01</t>
        </is>
      </c>
    </row>
    <row r="426">
      <c r="A426" t="inlineStr">
        <is>
          <t>2026-05-25</t>
        </is>
      </c>
      <c r="B426" t="inlineStr">
        <is>
          <t>PIG-B04</t>
        </is>
      </c>
      <c r="C426" t="inlineStr">
        <is>
          <t>Pen 2</t>
        </is>
      </c>
      <c r="D426" t="inlineStr">
        <is>
          <t>Pig starter</t>
        </is>
      </c>
      <c r="E426" t="n">
        <v>7.6</v>
      </c>
      <c r="F426" t="n">
        <v>21.5</v>
      </c>
      <c r="G426" t="n">
        <v>0</v>
      </c>
      <c r="H426" t="n">
        <v>0</v>
      </c>
      <c r="I426">
        <f>IFERROR(INDEX(P1_PIG_BATCHES!$E:$E,MATCH(B426,P1_PIG_BATCHES!$A:$A,0))-G426-H426,0)</f>
        <v/>
      </c>
      <c r="J426" t="n">
        <v>22</v>
      </c>
      <c r="K426" t="inlineStr">
        <is>
          <t>Dry</t>
        </is>
      </c>
      <c r="M426" t="inlineStr">
        <is>
          <t>S01</t>
        </is>
      </c>
    </row>
    <row r="427">
      <c r="A427" t="inlineStr">
        <is>
          <t>2026-05-26</t>
        </is>
      </c>
      <c r="B427" t="inlineStr">
        <is>
          <t>PIG-B04</t>
        </is>
      </c>
      <c r="C427" t="inlineStr">
        <is>
          <t>Pen 2</t>
        </is>
      </c>
      <c r="D427" t="inlineStr">
        <is>
          <t>Pig starter</t>
        </is>
      </c>
      <c r="E427" t="n">
        <v>6.5</v>
      </c>
      <c r="F427" t="n">
        <v>15.9</v>
      </c>
      <c r="G427" t="n">
        <v>0</v>
      </c>
      <c r="H427" t="n">
        <v>0</v>
      </c>
      <c r="I427">
        <f>IFERROR(INDEX(P1_PIG_BATCHES!$E:$E,MATCH(B427,P1_PIG_BATCHES!$A:$A,0))-G427-H427,0)</f>
        <v/>
      </c>
      <c r="J427" t="n">
        <v>25.4</v>
      </c>
      <c r="K427" t="inlineStr">
        <is>
          <t>Dry</t>
        </is>
      </c>
      <c r="M427" t="inlineStr">
        <is>
          <t>S01</t>
        </is>
      </c>
    </row>
    <row r="428">
      <c r="A428" t="inlineStr">
        <is>
          <t>2026-05-27</t>
        </is>
      </c>
      <c r="B428" t="inlineStr">
        <is>
          <t>PIG-B04</t>
        </is>
      </c>
      <c r="C428" t="inlineStr">
        <is>
          <t>Pen 2</t>
        </is>
      </c>
      <c r="D428" t="inlineStr">
        <is>
          <t>Pig starter</t>
        </is>
      </c>
      <c r="E428" t="n">
        <v>7.7</v>
      </c>
      <c r="F428" t="n">
        <v>22.7</v>
      </c>
      <c r="G428" t="n">
        <v>0</v>
      </c>
      <c r="H428" t="n">
        <v>0</v>
      </c>
      <c r="I428">
        <f>IFERROR(INDEX(P1_PIG_BATCHES!$E:$E,MATCH(B428,P1_PIG_BATCHES!$A:$A,0))-G428-H428,0)</f>
        <v/>
      </c>
      <c r="J428" t="n">
        <v>27.2</v>
      </c>
      <c r="K428" t="inlineStr">
        <is>
          <t>Dry</t>
        </is>
      </c>
      <c r="M428" t="inlineStr">
        <is>
          <t>S01</t>
        </is>
      </c>
    </row>
    <row r="429">
      <c r="A429" t="inlineStr">
        <is>
          <t>2026-05-28</t>
        </is>
      </c>
      <c r="B429" t="inlineStr">
        <is>
          <t>PIG-B04</t>
        </is>
      </c>
      <c r="C429" t="inlineStr">
        <is>
          <t>Pen 2</t>
        </is>
      </c>
      <c r="D429" t="inlineStr">
        <is>
          <t>Pig starter</t>
        </is>
      </c>
      <c r="E429" t="n">
        <v>8.4</v>
      </c>
      <c r="F429" t="n">
        <v>24.9</v>
      </c>
      <c r="G429" t="n">
        <v>0</v>
      </c>
      <c r="H429" t="n">
        <v>0</v>
      </c>
      <c r="I429">
        <f>IFERROR(INDEX(P1_PIG_BATCHES!$E:$E,MATCH(B429,P1_PIG_BATCHES!$A:$A,0))-G429-H429,0)</f>
        <v/>
      </c>
      <c r="J429" t="n">
        <v>20.6</v>
      </c>
      <c r="K429" t="inlineStr">
        <is>
          <t>Dry</t>
        </is>
      </c>
      <c r="M429" t="inlineStr">
        <is>
          <t>S01</t>
        </is>
      </c>
    </row>
    <row r="430">
      <c r="A430" t="inlineStr">
        <is>
          <t>2026-05-29</t>
        </is>
      </c>
      <c r="B430" t="inlineStr">
        <is>
          <t>PIG-B04</t>
        </is>
      </c>
      <c r="C430" t="inlineStr">
        <is>
          <t>Pen 2</t>
        </is>
      </c>
      <c r="D430" t="inlineStr">
        <is>
          <t>Pig starter</t>
        </is>
      </c>
      <c r="E430" t="n">
        <v>8.6</v>
      </c>
      <c r="F430" t="n">
        <v>25.5</v>
      </c>
      <c r="G430" t="n">
        <v>0</v>
      </c>
      <c r="H430" t="n">
        <v>0</v>
      </c>
      <c r="I430">
        <f>IFERROR(INDEX(P1_PIG_BATCHES!$E:$E,MATCH(B430,P1_PIG_BATCHES!$A:$A,0))-G430-H430,0)</f>
        <v/>
      </c>
      <c r="J430" t="n">
        <v>22</v>
      </c>
      <c r="K430" t="inlineStr">
        <is>
          <t>Dry</t>
        </is>
      </c>
      <c r="M430" t="inlineStr">
        <is>
          <t>S01</t>
        </is>
      </c>
    </row>
    <row r="431">
      <c r="A431" t="inlineStr">
        <is>
          <t>2026-05-30</t>
        </is>
      </c>
      <c r="B431" t="inlineStr">
        <is>
          <t>PIG-B04</t>
        </is>
      </c>
      <c r="C431" t="inlineStr">
        <is>
          <t>Pen 2</t>
        </is>
      </c>
      <c r="D431" t="inlineStr">
        <is>
          <t>Pig starter</t>
        </is>
      </c>
      <c r="E431" t="n">
        <v>8.800000000000001</v>
      </c>
      <c r="F431" t="n">
        <v>20.4</v>
      </c>
      <c r="G431" t="n">
        <v>0</v>
      </c>
      <c r="H431" t="n">
        <v>0</v>
      </c>
      <c r="I431">
        <f>IFERROR(INDEX(P1_PIG_BATCHES!$E:$E,MATCH(B431,P1_PIG_BATCHES!$A:$A,0))-G431-H431,0)</f>
        <v/>
      </c>
      <c r="J431" t="n">
        <v>25.8</v>
      </c>
      <c r="K431" t="inlineStr">
        <is>
          <t>Dry</t>
        </is>
      </c>
      <c r="M431" t="inlineStr">
        <is>
          <t>S01</t>
        </is>
      </c>
    </row>
    <row r="432">
      <c r="A432" t="inlineStr">
        <is>
          <t>2026-05-31</t>
        </is>
      </c>
      <c r="B432" t="inlineStr">
        <is>
          <t>PIG-B04</t>
        </is>
      </c>
      <c r="C432" t="inlineStr">
        <is>
          <t>Pen 2</t>
        </is>
      </c>
      <c r="D432" t="inlineStr">
        <is>
          <t>Pig starter</t>
        </is>
      </c>
      <c r="E432" t="n">
        <v>9.199999999999999</v>
      </c>
      <c r="F432" t="n">
        <v>21.5</v>
      </c>
      <c r="G432" t="n">
        <v>0</v>
      </c>
      <c r="H432" t="n">
        <v>0</v>
      </c>
      <c r="I432">
        <f>IFERROR(INDEX(P1_PIG_BATCHES!$E:$E,MATCH(B432,P1_PIG_BATCHES!$A:$A,0))-G432-H432,0)</f>
        <v/>
      </c>
      <c r="J432" t="n">
        <v>26.8</v>
      </c>
      <c r="K432" t="inlineStr">
        <is>
          <t>Dry</t>
        </is>
      </c>
      <c r="M432" t="inlineStr">
        <is>
          <t>S01</t>
        </is>
      </c>
    </row>
    <row r="433">
      <c r="A433" t="inlineStr">
        <is>
          <t>2026-06-01</t>
        </is>
      </c>
      <c r="B433" t="inlineStr">
        <is>
          <t>PIG-B04</t>
        </is>
      </c>
      <c r="C433" t="inlineStr">
        <is>
          <t>Pen 2</t>
        </is>
      </c>
      <c r="D433" t="inlineStr">
        <is>
          <t>Pig starter</t>
        </is>
      </c>
      <c r="E433" t="n">
        <v>8.9</v>
      </c>
      <c r="F433" t="n">
        <v>24.1</v>
      </c>
      <c r="G433" t="n">
        <v>0</v>
      </c>
      <c r="H433" t="n">
        <v>0</v>
      </c>
      <c r="I433">
        <f>IFERROR(INDEX(P1_PIG_BATCHES!$E:$E,MATCH(B433,P1_PIG_BATCHES!$A:$A,0))-G433-H433,0)</f>
        <v/>
      </c>
      <c r="J433" t="n">
        <v>26.8</v>
      </c>
      <c r="K433" t="inlineStr">
        <is>
          <t>Dry</t>
        </is>
      </c>
      <c r="M433" t="inlineStr">
        <is>
          <t>S01</t>
        </is>
      </c>
    </row>
    <row r="434">
      <c r="A434" t="inlineStr">
        <is>
          <t>2026-06-02</t>
        </is>
      </c>
      <c r="B434" t="inlineStr">
        <is>
          <t>PIG-B04</t>
        </is>
      </c>
      <c r="C434" t="inlineStr">
        <is>
          <t>Pen 2</t>
        </is>
      </c>
      <c r="D434" t="inlineStr">
        <is>
          <t>Pig starter</t>
        </is>
      </c>
      <c r="E434" t="n">
        <v>8.199999999999999</v>
      </c>
      <c r="F434" t="n">
        <v>19.7</v>
      </c>
      <c r="G434" t="n">
        <v>0</v>
      </c>
      <c r="H434" t="n">
        <v>0</v>
      </c>
      <c r="I434">
        <f>IFERROR(INDEX(P1_PIG_BATCHES!$E:$E,MATCH(B434,P1_PIG_BATCHES!$A:$A,0))-G434-H434,0)</f>
        <v/>
      </c>
      <c r="J434" t="n">
        <v>20.9</v>
      </c>
      <c r="K434" t="inlineStr">
        <is>
          <t>Dry</t>
        </is>
      </c>
      <c r="M434" t="inlineStr">
        <is>
          <t>S01</t>
        </is>
      </c>
    </row>
    <row r="435">
      <c r="A435" t="inlineStr">
        <is>
          <t>2026-06-03</t>
        </is>
      </c>
      <c r="B435" t="inlineStr">
        <is>
          <t>PIG-B04</t>
        </is>
      </c>
      <c r="C435" t="inlineStr">
        <is>
          <t>Pen 2</t>
        </is>
      </c>
      <c r="D435" t="inlineStr">
        <is>
          <t>Pig starter</t>
        </is>
      </c>
      <c r="E435" t="n">
        <v>8.1</v>
      </c>
      <c r="F435" t="n">
        <v>17.9</v>
      </c>
      <c r="G435" t="n">
        <v>0</v>
      </c>
      <c r="H435" t="n">
        <v>0</v>
      </c>
      <c r="I435">
        <f>IFERROR(INDEX(P1_PIG_BATCHES!$E:$E,MATCH(B435,P1_PIG_BATCHES!$A:$A,0))-G435-H435,0)</f>
        <v/>
      </c>
      <c r="J435" t="n">
        <v>23.2</v>
      </c>
      <c r="K435" t="inlineStr">
        <is>
          <t>Dry</t>
        </is>
      </c>
      <c r="M435" t="inlineStr">
        <is>
          <t>S01</t>
        </is>
      </c>
    </row>
    <row r="436">
      <c r="A436" t="inlineStr">
        <is>
          <t>2026-06-04</t>
        </is>
      </c>
      <c r="B436" t="inlineStr">
        <is>
          <t>PIG-B04</t>
        </is>
      </c>
      <c r="C436" t="inlineStr">
        <is>
          <t>Pen 2</t>
        </is>
      </c>
      <c r="D436" t="inlineStr">
        <is>
          <t>Pig starter</t>
        </is>
      </c>
      <c r="E436" t="n">
        <v>10.2</v>
      </c>
      <c r="F436" t="n">
        <v>29.6</v>
      </c>
      <c r="G436" t="n">
        <v>0</v>
      </c>
      <c r="H436" t="n">
        <v>0</v>
      </c>
      <c r="I436">
        <f>IFERROR(INDEX(P1_PIG_BATCHES!$E:$E,MATCH(B436,P1_PIG_BATCHES!$A:$A,0))-G436-H436,0)</f>
        <v/>
      </c>
      <c r="J436" t="n">
        <v>24</v>
      </c>
      <c r="K436" t="inlineStr">
        <is>
          <t>Dry</t>
        </is>
      </c>
      <c r="M436" t="inlineStr">
        <is>
          <t>S01</t>
        </is>
      </c>
    </row>
    <row r="437">
      <c r="A437" t="inlineStr">
        <is>
          <t>2026-06-05</t>
        </is>
      </c>
      <c r="B437" t="inlineStr">
        <is>
          <t>PIG-B04</t>
        </is>
      </c>
      <c r="C437" t="inlineStr">
        <is>
          <t>Pen 2</t>
        </is>
      </c>
      <c r="D437" t="inlineStr">
        <is>
          <t>Pig starter</t>
        </is>
      </c>
      <c r="E437" t="n">
        <v>9.5</v>
      </c>
      <c r="F437" t="n">
        <v>21.7</v>
      </c>
      <c r="G437" t="n">
        <v>0</v>
      </c>
      <c r="H437" t="n">
        <v>0</v>
      </c>
      <c r="I437">
        <f>IFERROR(INDEX(P1_PIG_BATCHES!$E:$E,MATCH(B437,P1_PIG_BATCHES!$A:$A,0))-G437-H437,0)</f>
        <v/>
      </c>
      <c r="J437" t="n">
        <v>23.9</v>
      </c>
      <c r="K437" t="inlineStr">
        <is>
          <t>Dry</t>
        </is>
      </c>
      <c r="M437" t="inlineStr">
        <is>
          <t>S01</t>
        </is>
      </c>
    </row>
    <row r="438">
      <c r="A438" t="inlineStr">
        <is>
          <t>2026-06-06</t>
        </is>
      </c>
      <c r="B438" t="inlineStr">
        <is>
          <t>PIG-B04</t>
        </is>
      </c>
      <c r="C438" t="inlineStr">
        <is>
          <t>Pen 2</t>
        </is>
      </c>
      <c r="D438" t="inlineStr">
        <is>
          <t>Pig starter</t>
        </is>
      </c>
      <c r="E438" t="n">
        <v>10</v>
      </c>
      <c r="F438" t="n">
        <v>27.5</v>
      </c>
      <c r="G438" t="n">
        <v>0</v>
      </c>
      <c r="H438" t="n">
        <v>0</v>
      </c>
      <c r="I438">
        <f>IFERROR(INDEX(P1_PIG_BATCHES!$E:$E,MATCH(B438,P1_PIG_BATCHES!$A:$A,0))-G438-H438,0)</f>
        <v/>
      </c>
      <c r="J438" t="n">
        <v>21.6</v>
      </c>
      <c r="K438" t="inlineStr">
        <is>
          <t>Dry</t>
        </is>
      </c>
      <c r="M438" t="inlineStr">
        <is>
          <t>S01</t>
        </is>
      </c>
    </row>
    <row r="439">
      <c r="A439" t="inlineStr">
        <is>
          <t>2026-06-07</t>
        </is>
      </c>
      <c r="B439" t="inlineStr">
        <is>
          <t>PIG-B04</t>
        </is>
      </c>
      <c r="C439" t="inlineStr">
        <is>
          <t>Pen 2</t>
        </is>
      </c>
      <c r="D439" t="inlineStr">
        <is>
          <t>Pig starter</t>
        </is>
      </c>
      <c r="E439" t="n">
        <v>10.7</v>
      </c>
      <c r="F439" t="n">
        <v>26.1</v>
      </c>
      <c r="G439" t="n">
        <v>0</v>
      </c>
      <c r="H439" t="n">
        <v>0</v>
      </c>
      <c r="I439">
        <f>IFERROR(INDEX(P1_PIG_BATCHES!$E:$E,MATCH(B439,P1_PIG_BATCHES!$A:$A,0))-G439-H439,0)</f>
        <v/>
      </c>
      <c r="J439" t="n">
        <v>22.7</v>
      </c>
      <c r="K439" t="inlineStr">
        <is>
          <t>Dry</t>
        </is>
      </c>
      <c r="M439" t="inlineStr">
        <is>
          <t>S01</t>
        </is>
      </c>
    </row>
    <row r="440">
      <c r="A440" t="inlineStr">
        <is>
          <t>2026-06-08</t>
        </is>
      </c>
      <c r="B440" t="inlineStr">
        <is>
          <t>PIG-B04</t>
        </is>
      </c>
      <c r="C440" t="inlineStr">
        <is>
          <t>Pen 2</t>
        </is>
      </c>
      <c r="D440" t="inlineStr">
        <is>
          <t>Pig starter</t>
        </is>
      </c>
      <c r="E440" t="n">
        <v>9.1</v>
      </c>
      <c r="F440" t="n">
        <v>21.3</v>
      </c>
      <c r="G440" t="n">
        <v>0</v>
      </c>
      <c r="H440" t="n">
        <v>0</v>
      </c>
      <c r="I440">
        <f>IFERROR(INDEX(P1_PIG_BATCHES!$E:$E,MATCH(B440,P1_PIG_BATCHES!$A:$A,0))-G440-H440,0)</f>
        <v/>
      </c>
      <c r="J440" t="n">
        <v>23.1</v>
      </c>
      <c r="K440" t="inlineStr">
        <is>
          <t>Dry</t>
        </is>
      </c>
      <c r="M440" t="inlineStr">
        <is>
          <t>S01</t>
        </is>
      </c>
    </row>
    <row r="441">
      <c r="A441" t="inlineStr">
        <is>
          <t>2026-06-09</t>
        </is>
      </c>
      <c r="B441" t="inlineStr">
        <is>
          <t>PIG-B04</t>
        </is>
      </c>
      <c r="C441" t="inlineStr">
        <is>
          <t>Pen 2</t>
        </is>
      </c>
      <c r="D441" t="inlineStr">
        <is>
          <t>Pig starter</t>
        </is>
      </c>
      <c r="E441" t="n">
        <v>10.4</v>
      </c>
      <c r="F441" t="n">
        <v>30.3</v>
      </c>
      <c r="G441" t="n">
        <v>0</v>
      </c>
      <c r="H441" t="n">
        <v>0</v>
      </c>
      <c r="I441">
        <f>IFERROR(INDEX(P1_PIG_BATCHES!$E:$E,MATCH(B441,P1_PIG_BATCHES!$A:$A,0))-G441-H441,0)</f>
        <v/>
      </c>
      <c r="J441" t="n">
        <v>21.1</v>
      </c>
      <c r="K441" t="inlineStr">
        <is>
          <t>Dry</t>
        </is>
      </c>
      <c r="M441" t="inlineStr">
        <is>
          <t>S01</t>
        </is>
      </c>
    </row>
    <row r="442">
      <c r="A442" t="inlineStr">
        <is>
          <t>2026-06-10</t>
        </is>
      </c>
      <c r="B442" t="inlineStr">
        <is>
          <t>PIG-B04</t>
        </is>
      </c>
      <c r="C442" t="inlineStr">
        <is>
          <t>Pen 2</t>
        </is>
      </c>
      <c r="D442" t="inlineStr">
        <is>
          <t>Pig starter</t>
        </is>
      </c>
      <c r="E442" t="n">
        <v>10.8</v>
      </c>
      <c r="F442" t="n">
        <v>27.9</v>
      </c>
      <c r="G442" t="n">
        <v>0</v>
      </c>
      <c r="H442" t="n">
        <v>0</v>
      </c>
      <c r="I442">
        <f>IFERROR(INDEX(P1_PIG_BATCHES!$E:$E,MATCH(B442,P1_PIG_BATCHES!$A:$A,0))-G442-H442,0)</f>
        <v/>
      </c>
      <c r="J442" t="n">
        <v>20.6</v>
      </c>
      <c r="K442" t="inlineStr">
        <is>
          <t>Dry</t>
        </is>
      </c>
      <c r="M442" t="inlineStr">
        <is>
          <t>S01</t>
        </is>
      </c>
    </row>
    <row r="443">
      <c r="A443" t="inlineStr">
        <is>
          <t>2026-06-11</t>
        </is>
      </c>
      <c r="B443" t="inlineStr">
        <is>
          <t>PIG-B04</t>
        </is>
      </c>
      <c r="C443" t="inlineStr">
        <is>
          <t>Pen 2</t>
        </is>
      </c>
      <c r="D443" t="inlineStr">
        <is>
          <t>Pig grower</t>
        </is>
      </c>
      <c r="E443" t="n">
        <v>9.9</v>
      </c>
      <c r="F443" t="n">
        <v>28.7</v>
      </c>
      <c r="G443" t="n">
        <v>0</v>
      </c>
      <c r="H443" t="n">
        <v>0</v>
      </c>
      <c r="I443">
        <f>IFERROR(INDEX(P1_PIG_BATCHES!$E:$E,MATCH(B443,P1_PIG_BATCHES!$A:$A,0))-G443-H443,0)</f>
        <v/>
      </c>
      <c r="J443" t="n">
        <v>21.5</v>
      </c>
      <c r="K443" t="inlineStr">
        <is>
          <t>Dry</t>
        </is>
      </c>
      <c r="M443" t="inlineStr">
        <is>
          <t>S01</t>
        </is>
      </c>
    </row>
    <row r="444">
      <c r="A444" t="inlineStr">
        <is>
          <t>2026-06-12</t>
        </is>
      </c>
      <c r="B444" t="inlineStr">
        <is>
          <t>PIG-B04</t>
        </is>
      </c>
      <c r="C444" t="inlineStr">
        <is>
          <t>Pen 2</t>
        </is>
      </c>
      <c r="D444" t="inlineStr">
        <is>
          <t>Pig grower</t>
        </is>
      </c>
      <c r="E444" t="n">
        <v>10.2</v>
      </c>
      <c r="F444" t="n">
        <v>24.1</v>
      </c>
      <c r="G444" t="n">
        <v>0</v>
      </c>
      <c r="H444" t="n">
        <v>0</v>
      </c>
      <c r="I444">
        <f>IFERROR(INDEX(P1_PIG_BATCHES!$E:$E,MATCH(B444,P1_PIG_BATCHES!$A:$A,0))-G444-H444,0)</f>
        <v/>
      </c>
      <c r="J444" t="n">
        <v>25.4</v>
      </c>
      <c r="K444" t="inlineStr">
        <is>
          <t>Dry</t>
        </is>
      </c>
      <c r="M444" t="inlineStr">
        <is>
          <t>S01</t>
        </is>
      </c>
    </row>
    <row r="445">
      <c r="A445" t="inlineStr">
        <is>
          <t>2026-06-13</t>
        </is>
      </c>
      <c r="B445" t="inlineStr">
        <is>
          <t>PIG-B04</t>
        </is>
      </c>
      <c r="C445" t="inlineStr">
        <is>
          <t>Pen 2</t>
        </is>
      </c>
      <c r="D445" t="inlineStr">
        <is>
          <t>Pig grower</t>
        </is>
      </c>
      <c r="E445" t="n">
        <v>11.9</v>
      </c>
      <c r="F445" t="n">
        <v>28.8</v>
      </c>
      <c r="G445" t="n">
        <v>0</v>
      </c>
      <c r="H445" t="n">
        <v>0</v>
      </c>
      <c r="I445">
        <f>IFERROR(INDEX(P1_PIG_BATCHES!$E:$E,MATCH(B445,P1_PIG_BATCHES!$A:$A,0))-G445-H445,0)</f>
        <v/>
      </c>
      <c r="J445" t="n">
        <v>22.4</v>
      </c>
      <c r="K445" t="inlineStr">
        <is>
          <t>Dry</t>
        </is>
      </c>
      <c r="M445" t="inlineStr">
        <is>
          <t>S01</t>
        </is>
      </c>
    </row>
    <row r="446">
      <c r="A446" t="inlineStr">
        <is>
          <t>2026-06-14</t>
        </is>
      </c>
      <c r="B446" t="inlineStr">
        <is>
          <t>PIG-B04</t>
        </is>
      </c>
      <c r="C446" t="inlineStr">
        <is>
          <t>Pen 2</t>
        </is>
      </c>
      <c r="D446" t="inlineStr">
        <is>
          <t>Pig grower</t>
        </is>
      </c>
      <c r="E446" t="n">
        <v>10.2</v>
      </c>
      <c r="F446" t="n">
        <v>27.1</v>
      </c>
      <c r="G446" t="n">
        <v>0</v>
      </c>
      <c r="H446" t="n">
        <v>0</v>
      </c>
      <c r="I446">
        <f>IFERROR(INDEX(P1_PIG_BATCHES!$E:$E,MATCH(B446,P1_PIG_BATCHES!$A:$A,0))-G446-H446,0)</f>
        <v/>
      </c>
      <c r="J446" t="n">
        <v>26.4</v>
      </c>
      <c r="K446" t="inlineStr">
        <is>
          <t>Dry</t>
        </is>
      </c>
      <c r="M446" t="inlineStr">
        <is>
          <t>S01</t>
        </is>
      </c>
    </row>
    <row r="447">
      <c r="A447" t="inlineStr">
        <is>
          <t>2026-06-15</t>
        </is>
      </c>
      <c r="B447" t="inlineStr">
        <is>
          <t>PIG-B04</t>
        </is>
      </c>
      <c r="C447" t="inlineStr">
        <is>
          <t>Pen 2</t>
        </is>
      </c>
      <c r="D447" t="inlineStr">
        <is>
          <t>Pig grower</t>
        </is>
      </c>
      <c r="E447" t="n">
        <v>11.3</v>
      </c>
      <c r="F447" t="n">
        <v>28.7</v>
      </c>
      <c r="G447" t="n">
        <v>0</v>
      </c>
      <c r="H447" t="n">
        <v>0</v>
      </c>
      <c r="I447">
        <f>IFERROR(INDEX(P1_PIG_BATCHES!$E:$E,MATCH(B447,P1_PIG_BATCHES!$A:$A,0))-G447-H447,0)</f>
        <v/>
      </c>
      <c r="J447" t="n">
        <v>22.5</v>
      </c>
      <c r="K447" t="inlineStr">
        <is>
          <t>Dry</t>
        </is>
      </c>
      <c r="M447" t="inlineStr">
        <is>
          <t>S01</t>
        </is>
      </c>
    </row>
    <row r="448">
      <c r="A448" t="inlineStr">
        <is>
          <t>2026-06-16</t>
        </is>
      </c>
      <c r="B448" t="inlineStr">
        <is>
          <t>PIG-B04</t>
        </is>
      </c>
      <c r="C448" t="inlineStr">
        <is>
          <t>Pen 2</t>
        </is>
      </c>
      <c r="D448" t="inlineStr">
        <is>
          <t>Pig grower</t>
        </is>
      </c>
      <c r="E448" t="n">
        <v>12.2</v>
      </c>
      <c r="F448" t="n">
        <v>28.9</v>
      </c>
      <c r="G448" t="n">
        <v>0</v>
      </c>
      <c r="H448" t="n">
        <v>0</v>
      </c>
      <c r="I448">
        <f>IFERROR(INDEX(P1_PIG_BATCHES!$E:$E,MATCH(B448,P1_PIG_BATCHES!$A:$A,0))-G448-H448,0)</f>
        <v/>
      </c>
      <c r="J448" t="n">
        <v>20.6</v>
      </c>
      <c r="K448" t="inlineStr">
        <is>
          <t>Dry</t>
        </is>
      </c>
      <c r="M448" t="inlineStr">
        <is>
          <t>S01</t>
        </is>
      </c>
    </row>
    <row r="449">
      <c r="A449" t="inlineStr">
        <is>
          <t>2026-06-17</t>
        </is>
      </c>
      <c r="B449" t="inlineStr">
        <is>
          <t>PIG-B04</t>
        </is>
      </c>
      <c r="C449" t="inlineStr">
        <is>
          <t>Pen 2</t>
        </is>
      </c>
      <c r="D449" t="inlineStr">
        <is>
          <t>Pig grower</t>
        </is>
      </c>
      <c r="E449" t="n">
        <v>11.6</v>
      </c>
      <c r="F449" t="n">
        <v>26.4</v>
      </c>
      <c r="G449" t="n">
        <v>0</v>
      </c>
      <c r="H449" t="n">
        <v>0</v>
      </c>
      <c r="I449">
        <f>IFERROR(INDEX(P1_PIG_BATCHES!$E:$E,MATCH(B449,P1_PIG_BATCHES!$A:$A,0))-G449-H449,0)</f>
        <v/>
      </c>
      <c r="J449" t="n">
        <v>26.5</v>
      </c>
      <c r="K449" t="inlineStr">
        <is>
          <t>Dry</t>
        </is>
      </c>
      <c r="M449" t="inlineStr">
        <is>
          <t>S01</t>
        </is>
      </c>
    </row>
    <row r="450">
      <c r="A450" t="inlineStr">
        <is>
          <t>2026-06-18</t>
        </is>
      </c>
      <c r="B450" t="inlineStr">
        <is>
          <t>PIG-B04</t>
        </is>
      </c>
      <c r="C450" t="inlineStr">
        <is>
          <t>Pen 2</t>
        </is>
      </c>
      <c r="D450" t="inlineStr">
        <is>
          <t>Pig grower</t>
        </is>
      </c>
      <c r="E450" t="n">
        <v>12.1</v>
      </c>
      <c r="F450" t="n">
        <v>31.4</v>
      </c>
      <c r="G450" t="n">
        <v>0</v>
      </c>
      <c r="H450" t="n">
        <v>0</v>
      </c>
      <c r="I450">
        <f>IFERROR(INDEX(P1_PIG_BATCHES!$E:$E,MATCH(B450,P1_PIG_BATCHES!$A:$A,0))-G450-H450,0)</f>
        <v/>
      </c>
      <c r="J450" t="n">
        <v>25.2</v>
      </c>
      <c r="K450" t="inlineStr">
        <is>
          <t>Dry</t>
        </is>
      </c>
      <c r="M450" t="inlineStr">
        <is>
          <t>S01</t>
        </is>
      </c>
    </row>
    <row r="451">
      <c r="A451" t="inlineStr">
        <is>
          <t>2026-06-19</t>
        </is>
      </c>
      <c r="B451" t="inlineStr">
        <is>
          <t>PIG-B04</t>
        </is>
      </c>
      <c r="C451" t="inlineStr">
        <is>
          <t>Pen 2</t>
        </is>
      </c>
      <c r="D451" t="inlineStr">
        <is>
          <t>Pig grower</t>
        </is>
      </c>
      <c r="E451" t="n">
        <v>12.8</v>
      </c>
      <c r="F451" t="n">
        <v>30.1</v>
      </c>
      <c r="G451" t="n">
        <v>0</v>
      </c>
      <c r="H451" t="n">
        <v>0</v>
      </c>
      <c r="I451">
        <f>IFERROR(INDEX(P1_PIG_BATCHES!$E:$E,MATCH(B451,P1_PIG_BATCHES!$A:$A,0))-G451-H451,0)</f>
        <v/>
      </c>
      <c r="J451" t="n">
        <v>26.8</v>
      </c>
      <c r="K451" t="inlineStr">
        <is>
          <t>Dry</t>
        </is>
      </c>
      <c r="M451" t="inlineStr">
        <is>
          <t>S01</t>
        </is>
      </c>
    </row>
    <row r="452">
      <c r="A452" t="inlineStr">
        <is>
          <t>2026-06-20</t>
        </is>
      </c>
      <c r="B452" t="inlineStr">
        <is>
          <t>PIG-B04</t>
        </is>
      </c>
      <c r="C452" t="inlineStr">
        <is>
          <t>Pen 2</t>
        </is>
      </c>
      <c r="D452" t="inlineStr">
        <is>
          <t>Pig grower</t>
        </is>
      </c>
      <c r="E452" t="n">
        <v>12.7</v>
      </c>
      <c r="F452" t="n">
        <v>30.7</v>
      </c>
      <c r="G452" t="n">
        <v>0</v>
      </c>
      <c r="H452" t="n">
        <v>0</v>
      </c>
      <c r="I452">
        <f>IFERROR(INDEX(P1_PIG_BATCHES!$E:$E,MATCH(B452,P1_PIG_BATCHES!$A:$A,0))-G452-H452,0)</f>
        <v/>
      </c>
      <c r="J452" t="n">
        <v>23.7</v>
      </c>
      <c r="K452" t="inlineStr">
        <is>
          <t>Dry</t>
        </is>
      </c>
      <c r="M452" t="inlineStr">
        <is>
          <t>S01</t>
        </is>
      </c>
    </row>
    <row r="453">
      <c r="A453" t="inlineStr">
        <is>
          <t>2026-06-21</t>
        </is>
      </c>
      <c r="B453" t="inlineStr">
        <is>
          <t>PIG-B04</t>
        </is>
      </c>
      <c r="C453" t="inlineStr">
        <is>
          <t>Pen 2</t>
        </is>
      </c>
      <c r="D453" t="inlineStr">
        <is>
          <t>Pig grower</t>
        </is>
      </c>
      <c r="E453" t="n">
        <v>12.4</v>
      </c>
      <c r="F453" t="n">
        <v>28</v>
      </c>
      <c r="G453" t="n">
        <v>0</v>
      </c>
      <c r="H453" t="n">
        <v>0</v>
      </c>
      <c r="I453">
        <f>IFERROR(INDEX(P1_PIG_BATCHES!$E:$E,MATCH(B453,P1_PIG_BATCHES!$A:$A,0))-G453-H453,0)</f>
        <v/>
      </c>
      <c r="J453" t="n">
        <v>25.8</v>
      </c>
      <c r="K453" t="inlineStr">
        <is>
          <t>Dry</t>
        </is>
      </c>
      <c r="M453" t="inlineStr">
        <is>
          <t>S01</t>
        </is>
      </c>
    </row>
    <row r="454">
      <c r="A454" t="inlineStr">
        <is>
          <t>2026-06-22</t>
        </is>
      </c>
      <c r="B454" t="inlineStr">
        <is>
          <t>PIG-B04</t>
        </is>
      </c>
      <c r="C454" t="inlineStr">
        <is>
          <t>Pen 2</t>
        </is>
      </c>
      <c r="D454" t="inlineStr">
        <is>
          <t>Pig grower</t>
        </is>
      </c>
      <c r="E454" t="n">
        <v>12</v>
      </c>
      <c r="F454" t="n">
        <v>29.7</v>
      </c>
      <c r="G454" t="n">
        <v>0</v>
      </c>
      <c r="H454" t="n">
        <v>0</v>
      </c>
      <c r="I454">
        <f>IFERROR(INDEX(P1_PIG_BATCHES!$E:$E,MATCH(B454,P1_PIG_BATCHES!$A:$A,0))-G454-H454,0)</f>
        <v/>
      </c>
      <c r="J454" t="n">
        <v>24.3</v>
      </c>
      <c r="K454" t="inlineStr">
        <is>
          <t>Dry</t>
        </is>
      </c>
      <c r="M454" t="inlineStr">
        <is>
          <t>S01</t>
        </is>
      </c>
    </row>
    <row r="455">
      <c r="A455" t="inlineStr">
        <is>
          <t>2026-06-23</t>
        </is>
      </c>
      <c r="B455" t="inlineStr">
        <is>
          <t>PIG-B04</t>
        </is>
      </c>
      <c r="C455" t="inlineStr">
        <is>
          <t>Pen 2</t>
        </is>
      </c>
      <c r="D455" t="inlineStr">
        <is>
          <t>Pig grower</t>
        </is>
      </c>
      <c r="E455" t="n">
        <v>13.8</v>
      </c>
      <c r="F455" t="n">
        <v>36.5</v>
      </c>
      <c r="G455" t="n">
        <v>0</v>
      </c>
      <c r="H455" t="n">
        <v>0</v>
      </c>
      <c r="I455">
        <f>IFERROR(INDEX(P1_PIG_BATCHES!$E:$E,MATCH(B455,P1_PIG_BATCHES!$A:$A,0))-G455-H455,0)</f>
        <v/>
      </c>
      <c r="J455" t="n">
        <v>26.5</v>
      </c>
      <c r="K455" t="inlineStr">
        <is>
          <t>Dry</t>
        </is>
      </c>
      <c r="M455" t="inlineStr">
        <is>
          <t>S01</t>
        </is>
      </c>
    </row>
    <row r="456">
      <c r="A456" t="inlineStr">
        <is>
          <t>2026-06-24</t>
        </is>
      </c>
      <c r="B456" t="inlineStr">
        <is>
          <t>PIG-B04</t>
        </is>
      </c>
      <c r="C456" t="inlineStr">
        <is>
          <t>Pen 2</t>
        </is>
      </c>
      <c r="D456" t="inlineStr">
        <is>
          <t>Pig grower</t>
        </is>
      </c>
      <c r="E456" t="n">
        <v>13.5</v>
      </c>
      <c r="F456" t="n">
        <v>35.5</v>
      </c>
      <c r="G456" t="n">
        <v>0</v>
      </c>
      <c r="H456" t="n">
        <v>0</v>
      </c>
      <c r="I456">
        <f>IFERROR(INDEX(P1_PIG_BATCHES!$E:$E,MATCH(B456,P1_PIG_BATCHES!$A:$A,0))-G456-H456,0)</f>
        <v/>
      </c>
      <c r="J456" t="n">
        <v>26.6</v>
      </c>
      <c r="K456" t="inlineStr">
        <is>
          <t>Dry</t>
        </is>
      </c>
      <c r="M456" t="inlineStr">
        <is>
          <t>S01</t>
        </is>
      </c>
    </row>
    <row r="457">
      <c r="A457" t="inlineStr">
        <is>
          <t>2026-06-25</t>
        </is>
      </c>
      <c r="B457" t="inlineStr">
        <is>
          <t>PIG-B04</t>
        </is>
      </c>
      <c r="C457" t="inlineStr">
        <is>
          <t>Pen 2</t>
        </is>
      </c>
      <c r="D457" t="inlineStr">
        <is>
          <t>Pig grower</t>
        </is>
      </c>
      <c r="E457" t="n">
        <v>15.3</v>
      </c>
      <c r="F457" t="n">
        <v>39.5</v>
      </c>
      <c r="G457" t="n">
        <v>0</v>
      </c>
      <c r="H457" t="n">
        <v>0</v>
      </c>
      <c r="I457">
        <f>IFERROR(INDEX(P1_PIG_BATCHES!$E:$E,MATCH(B457,P1_PIG_BATCHES!$A:$A,0))-G457-H457,0)</f>
        <v/>
      </c>
      <c r="J457" t="n">
        <v>21</v>
      </c>
      <c r="K457" t="inlineStr">
        <is>
          <t>Dry</t>
        </is>
      </c>
      <c r="M457" t="inlineStr">
        <is>
          <t>S01</t>
        </is>
      </c>
    </row>
    <row r="458">
      <c r="A458" t="inlineStr">
        <is>
          <t>2026-06-26</t>
        </is>
      </c>
      <c r="B458" t="inlineStr">
        <is>
          <t>PIG-B04</t>
        </is>
      </c>
      <c r="C458" t="inlineStr">
        <is>
          <t>Pen 2</t>
        </is>
      </c>
      <c r="D458" t="inlineStr">
        <is>
          <t>Pig grower</t>
        </is>
      </c>
      <c r="E458" t="n">
        <v>15</v>
      </c>
      <c r="F458" t="n">
        <v>39</v>
      </c>
      <c r="G458" t="n">
        <v>0</v>
      </c>
      <c r="H458" t="n">
        <v>0</v>
      </c>
      <c r="I458">
        <f>IFERROR(INDEX(P1_PIG_BATCHES!$E:$E,MATCH(B458,P1_PIG_BATCHES!$A:$A,0))-G458-H458,0)</f>
        <v/>
      </c>
      <c r="J458" t="n">
        <v>26.9</v>
      </c>
      <c r="K458" t="inlineStr">
        <is>
          <t>Dry</t>
        </is>
      </c>
      <c r="M458" t="inlineStr">
        <is>
          <t>S01</t>
        </is>
      </c>
    </row>
    <row r="459">
      <c r="A459" t="inlineStr">
        <is>
          <t>2026-06-27</t>
        </is>
      </c>
      <c r="B459" t="inlineStr">
        <is>
          <t>PIG-B04</t>
        </is>
      </c>
      <c r="C459" t="inlineStr">
        <is>
          <t>Pen 2</t>
        </is>
      </c>
      <c r="D459" t="inlineStr">
        <is>
          <t>Pig grower</t>
        </is>
      </c>
      <c r="E459" t="n">
        <v>15.1</v>
      </c>
      <c r="F459" t="n">
        <v>40.7</v>
      </c>
      <c r="G459" t="n">
        <v>0</v>
      </c>
      <c r="H459" t="n">
        <v>0</v>
      </c>
      <c r="I459">
        <f>IFERROR(INDEX(P1_PIG_BATCHES!$E:$E,MATCH(B459,P1_PIG_BATCHES!$A:$A,0))-G459-H459,0)</f>
        <v/>
      </c>
      <c r="J459" t="n">
        <v>21.3</v>
      </c>
      <c r="K459" t="inlineStr">
        <is>
          <t>Dry</t>
        </is>
      </c>
      <c r="M459" t="inlineStr">
        <is>
          <t>S01</t>
        </is>
      </c>
    </row>
    <row r="460">
      <c r="A460" t="inlineStr">
        <is>
          <t>2026-06-28</t>
        </is>
      </c>
      <c r="B460" t="inlineStr">
        <is>
          <t>PIG-B04</t>
        </is>
      </c>
      <c r="C460" t="inlineStr">
        <is>
          <t>Pen 2</t>
        </is>
      </c>
      <c r="D460" t="inlineStr">
        <is>
          <t>Pig grower</t>
        </is>
      </c>
      <c r="E460" t="n">
        <v>13.6</v>
      </c>
      <c r="F460" t="n">
        <v>40.5</v>
      </c>
      <c r="G460" t="n">
        <v>0</v>
      </c>
      <c r="H460" t="n">
        <v>0</v>
      </c>
      <c r="I460">
        <f>IFERROR(INDEX(P1_PIG_BATCHES!$E:$E,MATCH(B460,P1_PIG_BATCHES!$A:$A,0))-G460-H460,0)</f>
        <v/>
      </c>
      <c r="J460" t="n">
        <v>27.4</v>
      </c>
      <c r="K460" t="inlineStr">
        <is>
          <t>Dry</t>
        </is>
      </c>
      <c r="M460" t="inlineStr">
        <is>
          <t>S01</t>
        </is>
      </c>
    </row>
    <row r="461">
      <c r="A461" t="inlineStr">
        <is>
          <t>2026-06-29</t>
        </is>
      </c>
      <c r="B461" t="inlineStr">
        <is>
          <t>PIG-B04</t>
        </is>
      </c>
      <c r="C461" t="inlineStr">
        <is>
          <t>Pen 2</t>
        </is>
      </c>
      <c r="D461" t="inlineStr">
        <is>
          <t>Pig grower</t>
        </is>
      </c>
      <c r="E461" t="n">
        <v>13.6</v>
      </c>
      <c r="F461" t="n">
        <v>34.5</v>
      </c>
      <c r="G461" t="n">
        <v>0</v>
      </c>
      <c r="H461" t="n">
        <v>0</v>
      </c>
      <c r="I461">
        <f>IFERROR(INDEX(P1_PIG_BATCHES!$E:$E,MATCH(B461,P1_PIG_BATCHES!$A:$A,0))-G461-H461,0)</f>
        <v/>
      </c>
      <c r="J461" t="n">
        <v>27.5</v>
      </c>
      <c r="K461" t="inlineStr">
        <is>
          <t>Dry</t>
        </is>
      </c>
      <c r="M461" t="inlineStr">
        <is>
          <t>S01</t>
        </is>
      </c>
    </row>
    <row r="462">
      <c r="A462" t="inlineStr">
        <is>
          <t>2026-06-30</t>
        </is>
      </c>
      <c r="B462" t="inlineStr">
        <is>
          <t>PIG-B04</t>
        </is>
      </c>
      <c r="C462" t="inlineStr">
        <is>
          <t>Pen 2</t>
        </is>
      </c>
      <c r="D462" t="inlineStr">
        <is>
          <t>Pig grower</t>
        </is>
      </c>
      <c r="E462" t="n">
        <v>17</v>
      </c>
      <c r="F462" t="n">
        <v>45.9</v>
      </c>
      <c r="G462" t="n">
        <v>0</v>
      </c>
      <c r="H462" t="n">
        <v>0</v>
      </c>
      <c r="I462">
        <f>IFERROR(INDEX(P1_PIG_BATCHES!$E:$E,MATCH(B462,P1_PIG_BATCHES!$A:$A,0))-G462-H462,0)</f>
        <v/>
      </c>
      <c r="J462" t="n">
        <v>26.4</v>
      </c>
      <c r="K462" t="inlineStr">
        <is>
          <t>Dry</t>
        </is>
      </c>
      <c r="M462" t="inlineStr">
        <is>
          <t>S01</t>
        </is>
      </c>
    </row>
    <row r="463">
      <c r="A463" t="inlineStr">
        <is>
          <t>2026-07-08</t>
        </is>
      </c>
      <c r="B463" t="inlineStr">
        <is>
          <t>PIG-B04</t>
        </is>
      </c>
      <c r="C463" t="inlineStr">
        <is>
          <t>Pen 2</t>
        </is>
      </c>
      <c r="D463" t="inlineStr">
        <is>
          <t>Pig grower</t>
        </is>
      </c>
      <c r="E463" t="n">
        <v>18.7</v>
      </c>
      <c r="F463" t="n">
        <v>54.7</v>
      </c>
      <c r="G463" t="n">
        <v>0</v>
      </c>
      <c r="H463" t="n">
        <v>0</v>
      </c>
      <c r="I463">
        <f>IFERROR(INDEX(P1_PIG_BATCHES!$E:$E,MATCH(B463,P1_PIG_BATCHES!$A:$A,0))-G463-H463,0)</f>
        <v/>
      </c>
      <c r="J463" t="n">
        <v>20.9</v>
      </c>
      <c r="K463" t="inlineStr">
        <is>
          <t>Dry</t>
        </is>
      </c>
      <c r="M463" t="inlineStr">
        <is>
          <t>S01</t>
        </is>
      </c>
    </row>
    <row r="464">
      <c r="A464" t="inlineStr">
        <is>
          <t>2026-07-09</t>
        </is>
      </c>
      <c r="B464" t="inlineStr">
        <is>
          <t>PIG-B04</t>
        </is>
      </c>
      <c r="C464" t="inlineStr">
        <is>
          <t>Pen 2</t>
        </is>
      </c>
      <c r="D464" t="inlineStr">
        <is>
          <t>Pig grower</t>
        </is>
      </c>
      <c r="E464" t="n">
        <v>16.8</v>
      </c>
      <c r="F464" t="n">
        <v>41.4</v>
      </c>
      <c r="G464" t="n">
        <v>0</v>
      </c>
      <c r="H464" t="n">
        <v>0</v>
      </c>
      <c r="I464">
        <f>IFERROR(INDEX(P1_PIG_BATCHES!$E:$E,MATCH(B464,P1_PIG_BATCHES!$A:$A,0))-G464-H464,0)</f>
        <v/>
      </c>
      <c r="J464" t="n">
        <v>22.4</v>
      </c>
      <c r="K464" t="inlineStr">
        <is>
          <t>Dry</t>
        </is>
      </c>
      <c r="M464" t="inlineStr">
        <is>
          <t>S01</t>
        </is>
      </c>
    </row>
    <row r="465">
      <c r="A465" t="inlineStr">
        <is>
          <t>2026-07-10</t>
        </is>
      </c>
      <c r="B465" t="inlineStr">
        <is>
          <t>PIG-B04</t>
        </is>
      </c>
      <c r="C465" t="inlineStr">
        <is>
          <t>Pen 2</t>
        </is>
      </c>
      <c r="D465" t="inlineStr">
        <is>
          <t>Pig grower</t>
        </is>
      </c>
      <c r="E465" t="n">
        <v>19</v>
      </c>
      <c r="F465" t="n">
        <v>53.6</v>
      </c>
      <c r="G465" t="n">
        <v>0</v>
      </c>
      <c r="H465" t="n">
        <v>0</v>
      </c>
      <c r="I465">
        <f>IFERROR(INDEX(P1_PIG_BATCHES!$E:$E,MATCH(B465,P1_PIG_BATCHES!$A:$A,0))-G465-H465,0)</f>
        <v/>
      </c>
      <c r="J465" t="n">
        <v>24.9</v>
      </c>
      <c r="K465" t="inlineStr">
        <is>
          <t>Dry</t>
        </is>
      </c>
      <c r="M465" t="inlineStr">
        <is>
          <t>S01</t>
        </is>
      </c>
    </row>
    <row r="466">
      <c r="A466" t="inlineStr">
        <is>
          <t>2026-07-11</t>
        </is>
      </c>
      <c r="B466" t="inlineStr">
        <is>
          <t>PIG-B04</t>
        </is>
      </c>
      <c r="C466" t="inlineStr">
        <is>
          <t>Pen 2</t>
        </is>
      </c>
      <c r="D466" t="inlineStr">
        <is>
          <t>Pig grower</t>
        </is>
      </c>
      <c r="E466" t="n">
        <v>17.4</v>
      </c>
      <c r="F466" t="n">
        <v>44.1</v>
      </c>
      <c r="G466" t="n">
        <v>0</v>
      </c>
      <c r="H466" t="n">
        <v>0</v>
      </c>
      <c r="I466">
        <f>IFERROR(INDEX(P1_PIG_BATCHES!$E:$E,MATCH(B466,P1_PIG_BATCHES!$A:$A,0))-G466-H466,0)</f>
        <v/>
      </c>
      <c r="J466" t="n">
        <v>21.5</v>
      </c>
      <c r="K466" t="inlineStr">
        <is>
          <t>Dry</t>
        </is>
      </c>
      <c r="M466" t="inlineStr">
        <is>
          <t>S01</t>
        </is>
      </c>
    </row>
    <row r="467">
      <c r="A467" t="inlineStr">
        <is>
          <t>2026-07-12</t>
        </is>
      </c>
      <c r="B467" t="inlineStr">
        <is>
          <t>PIG-B04</t>
        </is>
      </c>
      <c r="C467" t="inlineStr">
        <is>
          <t>Pen 2</t>
        </is>
      </c>
      <c r="D467" t="inlineStr">
        <is>
          <t>Pig grower</t>
        </is>
      </c>
      <c r="E467" t="n">
        <v>19.1</v>
      </c>
      <c r="F467" t="n">
        <v>56.2</v>
      </c>
      <c r="G467" t="n">
        <v>0</v>
      </c>
      <c r="H467" t="n">
        <v>0</v>
      </c>
      <c r="I467">
        <f>IFERROR(INDEX(P1_PIG_BATCHES!$E:$E,MATCH(B467,P1_PIG_BATCHES!$A:$A,0))-G467-H467,0)</f>
        <v/>
      </c>
      <c r="J467" t="n">
        <v>27.1</v>
      </c>
      <c r="K467" t="inlineStr">
        <is>
          <t>Dry</t>
        </is>
      </c>
      <c r="M467" t="inlineStr">
        <is>
          <t>S01</t>
        </is>
      </c>
    </row>
    <row r="468">
      <c r="A468" t="inlineStr">
        <is>
          <t>2026-07-13</t>
        </is>
      </c>
      <c r="B468" t="inlineStr">
        <is>
          <t>PIG-B04</t>
        </is>
      </c>
      <c r="C468" t="inlineStr">
        <is>
          <t>Pen 2</t>
        </is>
      </c>
      <c r="D468" t="inlineStr">
        <is>
          <t>Pig grower</t>
        </is>
      </c>
      <c r="E468" t="n">
        <v>16.4</v>
      </c>
      <c r="F468" t="n">
        <v>39.9</v>
      </c>
      <c r="G468" t="n">
        <v>0</v>
      </c>
      <c r="H468" t="n">
        <v>0</v>
      </c>
      <c r="I468">
        <f>IFERROR(INDEX(P1_PIG_BATCHES!$E:$E,MATCH(B468,P1_PIG_BATCHES!$A:$A,0))-G468-H468,0)</f>
        <v/>
      </c>
      <c r="J468" t="n">
        <v>24.3</v>
      </c>
      <c r="K468" t="inlineStr">
        <is>
          <t>Dry</t>
        </is>
      </c>
      <c r="M468" t="inlineStr">
        <is>
          <t>S01</t>
        </is>
      </c>
    </row>
    <row r="469">
      <c r="A469" t="inlineStr">
        <is>
          <t>2026-07-14</t>
        </is>
      </c>
      <c r="B469" t="inlineStr">
        <is>
          <t>PIG-B04</t>
        </is>
      </c>
      <c r="C469" t="inlineStr">
        <is>
          <t>Pen 2</t>
        </is>
      </c>
      <c r="D469" t="inlineStr">
        <is>
          <t>Pig grower</t>
        </is>
      </c>
      <c r="E469" t="n">
        <v>18</v>
      </c>
      <c r="F469" t="n">
        <v>45.2</v>
      </c>
      <c r="G469" t="n">
        <v>0</v>
      </c>
      <c r="H469" t="n">
        <v>0</v>
      </c>
      <c r="I469">
        <f>IFERROR(INDEX(P1_PIG_BATCHES!$E:$E,MATCH(B469,P1_PIG_BATCHES!$A:$A,0))-G469-H469,0)</f>
        <v/>
      </c>
      <c r="J469" t="n">
        <v>23.9</v>
      </c>
      <c r="K469" t="inlineStr">
        <is>
          <t>Dry</t>
        </is>
      </c>
      <c r="M469" t="inlineStr">
        <is>
          <t>S01</t>
        </is>
      </c>
    </row>
    <row r="470">
      <c r="A470" t="inlineStr">
        <is>
          <t>2026-07-15</t>
        </is>
      </c>
      <c r="B470" t="inlineStr">
        <is>
          <t>PIG-B04</t>
        </is>
      </c>
      <c r="C470" t="inlineStr">
        <is>
          <t>Pen 2</t>
        </is>
      </c>
      <c r="D470" t="inlineStr">
        <is>
          <t>Pig grower</t>
        </is>
      </c>
      <c r="E470" t="n">
        <v>16.6</v>
      </c>
      <c r="F470" t="n">
        <v>40.3</v>
      </c>
      <c r="G470" t="n">
        <v>0</v>
      </c>
      <c r="H470" t="n">
        <v>0</v>
      </c>
      <c r="I470">
        <f>IFERROR(INDEX(P1_PIG_BATCHES!$E:$E,MATCH(B470,P1_PIG_BATCHES!$A:$A,0))-G470-H470,0)</f>
        <v/>
      </c>
      <c r="J470" t="n">
        <v>21.4</v>
      </c>
      <c r="K470" t="inlineStr">
        <is>
          <t>Dry</t>
        </is>
      </c>
      <c r="M470" t="inlineStr">
        <is>
          <t>S01</t>
        </is>
      </c>
    </row>
    <row r="471">
      <c r="A471" t="inlineStr">
        <is>
          <t>2026-07-16</t>
        </is>
      </c>
      <c r="B471" t="inlineStr">
        <is>
          <t>PIG-B04</t>
        </is>
      </c>
      <c r="C471" t="inlineStr">
        <is>
          <t>Pen 2</t>
        </is>
      </c>
      <c r="D471" t="inlineStr">
        <is>
          <t>Pig grower</t>
        </is>
      </c>
      <c r="E471" t="n">
        <v>19.7</v>
      </c>
      <c r="F471" t="n">
        <v>44.1</v>
      </c>
      <c r="G471" t="n">
        <v>0</v>
      </c>
      <c r="H471" t="n">
        <v>0</v>
      </c>
      <c r="I471">
        <f>IFERROR(INDEX(P1_PIG_BATCHES!$E:$E,MATCH(B471,P1_PIG_BATCHES!$A:$A,0))-G471-H471,0)</f>
        <v/>
      </c>
      <c r="J471" t="n">
        <v>26.8</v>
      </c>
      <c r="K471" t="inlineStr">
        <is>
          <t>Dry</t>
        </is>
      </c>
      <c r="M471" t="inlineStr">
        <is>
          <t>S01</t>
        </is>
      </c>
    </row>
    <row r="472">
      <c r="A472" t="inlineStr">
        <is>
          <t>2026-07-17</t>
        </is>
      </c>
      <c r="B472" t="inlineStr">
        <is>
          <t>PIG-B04</t>
        </is>
      </c>
      <c r="C472" t="inlineStr">
        <is>
          <t>Pen 2</t>
        </is>
      </c>
      <c r="D472" t="inlineStr">
        <is>
          <t>Pig grower</t>
        </is>
      </c>
      <c r="E472" t="n">
        <v>17.9</v>
      </c>
      <c r="F472" t="n">
        <v>50</v>
      </c>
      <c r="G472" t="n">
        <v>0</v>
      </c>
      <c r="H472" t="n">
        <v>0</v>
      </c>
      <c r="I472">
        <f>IFERROR(INDEX(P1_PIG_BATCHES!$E:$E,MATCH(B472,P1_PIG_BATCHES!$A:$A,0))-G472-H472,0)</f>
        <v/>
      </c>
      <c r="J472" t="n">
        <v>27</v>
      </c>
      <c r="K472" t="inlineStr">
        <is>
          <t>Dry</t>
        </is>
      </c>
      <c r="M472" t="inlineStr">
        <is>
          <t>S01</t>
        </is>
      </c>
    </row>
    <row r="473">
      <c r="A473" t="inlineStr">
        <is>
          <t>2026-07-18</t>
        </is>
      </c>
      <c r="B473" t="inlineStr">
        <is>
          <t>PIG-B04</t>
        </is>
      </c>
      <c r="C473" t="inlineStr">
        <is>
          <t>Pen 2</t>
        </is>
      </c>
      <c r="D473" t="inlineStr">
        <is>
          <t>Pig grower</t>
        </is>
      </c>
      <c r="E473" t="n">
        <v>17.1</v>
      </c>
      <c r="F473" t="n">
        <v>48.7</v>
      </c>
      <c r="G473" t="n">
        <v>0</v>
      </c>
      <c r="H473" t="n">
        <v>0</v>
      </c>
      <c r="I473">
        <f>IFERROR(INDEX(P1_PIG_BATCHES!$E:$E,MATCH(B473,P1_PIG_BATCHES!$A:$A,0))-G473-H473,0)</f>
        <v/>
      </c>
      <c r="J473" t="n">
        <v>22.6</v>
      </c>
      <c r="K473" t="inlineStr">
        <is>
          <t>Dry</t>
        </is>
      </c>
      <c r="M473" t="inlineStr">
        <is>
          <t>S01</t>
        </is>
      </c>
    </row>
    <row r="474">
      <c r="A474" t="inlineStr">
        <is>
          <t>2026-07-19</t>
        </is>
      </c>
      <c r="B474" t="inlineStr">
        <is>
          <t>PIG-B04</t>
        </is>
      </c>
      <c r="C474" t="inlineStr">
        <is>
          <t>Pen 2</t>
        </is>
      </c>
      <c r="D474" t="inlineStr">
        <is>
          <t>Pig grower</t>
        </is>
      </c>
      <c r="E474" t="n">
        <v>19.5</v>
      </c>
      <c r="F474" t="n">
        <v>53.7</v>
      </c>
      <c r="G474" t="n">
        <v>0</v>
      </c>
      <c r="H474" t="n">
        <v>0</v>
      </c>
      <c r="I474">
        <f>IFERROR(INDEX(P1_PIG_BATCHES!$E:$E,MATCH(B474,P1_PIG_BATCHES!$A:$A,0))-G474-H474,0)</f>
        <v/>
      </c>
      <c r="J474" t="n">
        <v>21.1</v>
      </c>
      <c r="K474" t="inlineStr">
        <is>
          <t>Dry</t>
        </is>
      </c>
      <c r="M474" t="inlineStr">
        <is>
          <t>S01</t>
        </is>
      </c>
    </row>
    <row r="475">
      <c r="A475" t="inlineStr">
        <is>
          <t>2026-07-20</t>
        </is>
      </c>
      <c r="B475" t="inlineStr">
        <is>
          <t>PIG-B04</t>
        </is>
      </c>
      <c r="C475" t="inlineStr">
        <is>
          <t>Pen 2</t>
        </is>
      </c>
      <c r="D475" t="inlineStr">
        <is>
          <t>Pig grower</t>
        </is>
      </c>
      <c r="E475" t="n">
        <v>18.1</v>
      </c>
      <c r="F475" t="n">
        <v>53.8</v>
      </c>
      <c r="G475" t="n">
        <v>0</v>
      </c>
      <c r="H475" t="n">
        <v>0</v>
      </c>
      <c r="I475">
        <f>IFERROR(INDEX(P1_PIG_BATCHES!$E:$E,MATCH(B475,P1_PIG_BATCHES!$A:$A,0))-G475-H475,0)</f>
        <v/>
      </c>
      <c r="J475" t="n">
        <v>23.6</v>
      </c>
      <c r="K475" t="inlineStr">
        <is>
          <t>Dry</t>
        </is>
      </c>
      <c r="M475" t="inlineStr">
        <is>
          <t>S01</t>
        </is>
      </c>
    </row>
    <row r="476">
      <c r="A476" t="inlineStr">
        <is>
          <t>2026-07-21</t>
        </is>
      </c>
      <c r="B476" t="inlineStr">
        <is>
          <t>PIG-B04</t>
        </is>
      </c>
      <c r="C476" t="inlineStr">
        <is>
          <t>Pen 2</t>
        </is>
      </c>
      <c r="D476" t="inlineStr">
        <is>
          <t>Pig finisher</t>
        </is>
      </c>
      <c r="E476" t="n">
        <v>18.9</v>
      </c>
      <c r="F476" t="n">
        <v>47.9</v>
      </c>
      <c r="G476" t="n">
        <v>0</v>
      </c>
      <c r="H476" t="n">
        <v>0</v>
      </c>
      <c r="I476">
        <f>IFERROR(INDEX(P1_PIG_BATCHES!$E:$E,MATCH(B476,P1_PIG_BATCHES!$A:$A,0))-G476-H476,0)</f>
        <v/>
      </c>
      <c r="J476" t="n">
        <v>25</v>
      </c>
      <c r="K476" t="inlineStr">
        <is>
          <t>Dry</t>
        </is>
      </c>
      <c r="M476" t="inlineStr">
        <is>
          <t>S01</t>
        </is>
      </c>
    </row>
    <row r="477">
      <c r="A477" t="inlineStr">
        <is>
          <t>2026-07-22</t>
        </is>
      </c>
      <c r="B477" t="inlineStr">
        <is>
          <t>PIG-B04</t>
        </is>
      </c>
      <c r="C477" t="inlineStr">
        <is>
          <t>Pen 2</t>
        </is>
      </c>
      <c r="D477" t="inlineStr">
        <is>
          <t>Pig finisher</t>
        </is>
      </c>
      <c r="E477" t="n">
        <v>18.8</v>
      </c>
      <c r="F477" t="n">
        <v>53.6</v>
      </c>
      <c r="G477" t="n">
        <v>0</v>
      </c>
      <c r="H477" t="n">
        <v>0</v>
      </c>
      <c r="I477">
        <f>IFERROR(INDEX(P1_PIG_BATCHES!$E:$E,MATCH(B477,P1_PIG_BATCHES!$A:$A,0))-G477-H477,0)</f>
        <v/>
      </c>
      <c r="J477" t="n">
        <v>25.7</v>
      </c>
      <c r="K477" t="inlineStr">
        <is>
          <t>Dry</t>
        </is>
      </c>
      <c r="M477" t="inlineStr">
        <is>
          <t>S01</t>
        </is>
      </c>
    </row>
    <row r="478">
      <c r="A478" t="inlineStr">
        <is>
          <t>2026-07-23</t>
        </is>
      </c>
      <c r="B478" t="inlineStr">
        <is>
          <t>PIG-B04</t>
        </is>
      </c>
      <c r="C478" t="inlineStr">
        <is>
          <t>Pen 2</t>
        </is>
      </c>
      <c r="D478" t="inlineStr">
        <is>
          <t>Pig finisher</t>
        </is>
      </c>
      <c r="E478" t="n">
        <v>22.3</v>
      </c>
      <c r="F478" t="n">
        <v>63.6</v>
      </c>
      <c r="G478" t="n">
        <v>0</v>
      </c>
      <c r="H478" t="n">
        <v>0</v>
      </c>
      <c r="I478">
        <f>IFERROR(INDEX(P1_PIG_BATCHES!$E:$E,MATCH(B478,P1_PIG_BATCHES!$A:$A,0))-G478-H478,0)</f>
        <v/>
      </c>
      <c r="J478" t="n">
        <v>24.1</v>
      </c>
      <c r="K478" t="inlineStr">
        <is>
          <t>Dry</t>
        </is>
      </c>
      <c r="M478" t="inlineStr">
        <is>
          <t>S01</t>
        </is>
      </c>
    </row>
    <row r="479">
      <c r="A479" t="inlineStr">
        <is>
          <t>2026-07-24</t>
        </is>
      </c>
      <c r="B479" t="inlineStr">
        <is>
          <t>PIG-B04</t>
        </is>
      </c>
      <c r="C479" t="inlineStr">
        <is>
          <t>Pen 2</t>
        </is>
      </c>
      <c r="D479" t="inlineStr">
        <is>
          <t>Pig finisher</t>
        </is>
      </c>
      <c r="E479" t="n">
        <v>19.8</v>
      </c>
      <c r="F479" t="n">
        <v>51.6</v>
      </c>
      <c r="G479" t="n">
        <v>0</v>
      </c>
      <c r="H479" t="n">
        <v>0</v>
      </c>
      <c r="I479">
        <f>IFERROR(INDEX(P1_PIG_BATCHES!$E:$E,MATCH(B479,P1_PIG_BATCHES!$A:$A,0))-G479-H479,0)</f>
        <v/>
      </c>
      <c r="J479" t="n">
        <v>21.4</v>
      </c>
      <c r="K479" t="inlineStr">
        <is>
          <t>Dry</t>
        </is>
      </c>
      <c r="M479" t="inlineStr">
        <is>
          <t>S01</t>
        </is>
      </c>
    </row>
    <row r="480">
      <c r="A480" t="inlineStr">
        <is>
          <t>2026-07-25</t>
        </is>
      </c>
      <c r="B480" t="inlineStr">
        <is>
          <t>PIG-B04</t>
        </is>
      </c>
      <c r="C480" t="inlineStr">
        <is>
          <t>Pen 2</t>
        </is>
      </c>
      <c r="D480" t="inlineStr">
        <is>
          <t>Pig finisher</t>
        </is>
      </c>
      <c r="E480" t="n">
        <v>22.9</v>
      </c>
      <c r="F480" t="n">
        <v>51.1</v>
      </c>
      <c r="G480" t="n">
        <v>0</v>
      </c>
      <c r="H480" t="n">
        <v>0</v>
      </c>
      <c r="I480">
        <f>IFERROR(INDEX(P1_PIG_BATCHES!$E:$E,MATCH(B480,P1_PIG_BATCHES!$A:$A,0))-G480-H480,0)</f>
        <v/>
      </c>
      <c r="J480" t="n">
        <v>21.8</v>
      </c>
      <c r="K480" t="inlineStr">
        <is>
          <t>Dry</t>
        </is>
      </c>
      <c r="M480" t="inlineStr">
        <is>
          <t>S01</t>
        </is>
      </c>
    </row>
    <row r="481">
      <c r="A481" t="inlineStr">
        <is>
          <t>2026-07-26</t>
        </is>
      </c>
      <c r="B481" t="inlineStr">
        <is>
          <t>PIG-B04</t>
        </is>
      </c>
      <c r="C481" t="inlineStr">
        <is>
          <t>Pen 2</t>
        </is>
      </c>
      <c r="D481" t="inlineStr">
        <is>
          <t>Pig finisher</t>
        </is>
      </c>
      <c r="E481" t="n">
        <v>22.9</v>
      </c>
      <c r="F481" t="n">
        <v>55.1</v>
      </c>
      <c r="G481" t="n">
        <v>0</v>
      </c>
      <c r="H481" t="n">
        <v>0</v>
      </c>
      <c r="I481">
        <f>IFERROR(INDEX(P1_PIG_BATCHES!$E:$E,MATCH(B481,P1_PIG_BATCHES!$A:$A,0))-G481-H481,0)</f>
        <v/>
      </c>
      <c r="J481" t="n">
        <v>23.7</v>
      </c>
      <c r="K481" t="inlineStr">
        <is>
          <t>Dry</t>
        </is>
      </c>
      <c r="M481" t="inlineStr">
        <is>
          <t>S01</t>
        </is>
      </c>
    </row>
    <row r="482">
      <c r="A482" t="inlineStr">
        <is>
          <t>2026-07-27</t>
        </is>
      </c>
      <c r="B482" t="inlineStr">
        <is>
          <t>PIG-B04</t>
        </is>
      </c>
      <c r="C482" t="inlineStr">
        <is>
          <t>Pen 2</t>
        </is>
      </c>
      <c r="D482" t="inlineStr">
        <is>
          <t>Pig finisher</t>
        </is>
      </c>
      <c r="E482" t="n">
        <v>22.5</v>
      </c>
      <c r="F482" t="n">
        <v>54.5</v>
      </c>
      <c r="G482" t="n">
        <v>0</v>
      </c>
      <c r="H482" t="n">
        <v>0</v>
      </c>
      <c r="I482">
        <f>IFERROR(INDEX(P1_PIG_BATCHES!$E:$E,MATCH(B482,P1_PIG_BATCHES!$A:$A,0))-G482-H482,0)</f>
        <v/>
      </c>
      <c r="J482" t="n">
        <v>26.3</v>
      </c>
      <c r="K482" t="inlineStr">
        <is>
          <t>Dry</t>
        </is>
      </c>
      <c r="M482" t="inlineStr">
        <is>
          <t>S01</t>
        </is>
      </c>
    </row>
    <row r="483">
      <c r="A483" t="inlineStr">
        <is>
          <t>2026-07-28</t>
        </is>
      </c>
      <c r="B483" t="inlineStr">
        <is>
          <t>PIG-B04</t>
        </is>
      </c>
      <c r="C483" t="inlineStr">
        <is>
          <t>Pen 2</t>
        </is>
      </c>
      <c r="D483" t="inlineStr">
        <is>
          <t>Pig finisher</t>
        </is>
      </c>
      <c r="E483" t="n">
        <v>22.3</v>
      </c>
      <c r="F483" t="n">
        <v>51.4</v>
      </c>
      <c r="G483" t="n">
        <v>0</v>
      </c>
      <c r="H483" t="n">
        <v>0</v>
      </c>
      <c r="I483">
        <f>IFERROR(INDEX(P1_PIG_BATCHES!$E:$E,MATCH(B483,P1_PIG_BATCHES!$A:$A,0))-G483-H483,0)</f>
        <v/>
      </c>
      <c r="J483" t="n">
        <v>20.6</v>
      </c>
      <c r="K483" t="inlineStr">
        <is>
          <t>Dry</t>
        </is>
      </c>
      <c r="M483" t="inlineStr">
        <is>
          <t>S01</t>
        </is>
      </c>
    </row>
    <row r="484">
      <c r="A484" t="inlineStr">
        <is>
          <t>2026-07-29</t>
        </is>
      </c>
      <c r="B484" t="inlineStr">
        <is>
          <t>PIG-B04</t>
        </is>
      </c>
      <c r="C484" t="inlineStr">
        <is>
          <t>Pen 2</t>
        </is>
      </c>
      <c r="D484" t="inlineStr">
        <is>
          <t>Pig finisher</t>
        </is>
      </c>
      <c r="E484" t="n">
        <v>22.4</v>
      </c>
      <c r="F484" t="n">
        <v>52.6</v>
      </c>
      <c r="G484" t="n">
        <v>0</v>
      </c>
      <c r="H484" t="n">
        <v>0</v>
      </c>
      <c r="I484">
        <f>IFERROR(INDEX(P1_PIG_BATCHES!$E:$E,MATCH(B484,P1_PIG_BATCHES!$A:$A,0))-G484-H484,0)</f>
        <v/>
      </c>
      <c r="J484" t="n">
        <v>26.7</v>
      </c>
      <c r="K484" t="inlineStr">
        <is>
          <t>Dry</t>
        </is>
      </c>
      <c r="M484" t="inlineStr">
        <is>
          <t>S01</t>
        </is>
      </c>
    </row>
    <row r="485">
      <c r="A485" t="inlineStr">
        <is>
          <t>2026-07-30</t>
        </is>
      </c>
      <c r="B485" t="inlineStr">
        <is>
          <t>PIG-B04</t>
        </is>
      </c>
      <c r="C485" t="inlineStr">
        <is>
          <t>Pen 2</t>
        </is>
      </c>
      <c r="D485" t="inlineStr">
        <is>
          <t>Pig finisher</t>
        </is>
      </c>
      <c r="E485" t="n">
        <v>21.3</v>
      </c>
      <c r="F485" t="n">
        <v>49.8</v>
      </c>
      <c r="G485" t="n">
        <v>0</v>
      </c>
      <c r="H485" t="n">
        <v>0</v>
      </c>
      <c r="I485">
        <f>IFERROR(INDEX(P1_PIG_BATCHES!$E:$E,MATCH(B485,P1_PIG_BATCHES!$A:$A,0))-G485-H485,0)</f>
        <v/>
      </c>
      <c r="J485" t="n">
        <v>26.8</v>
      </c>
      <c r="K485" t="inlineStr">
        <is>
          <t>Dry</t>
        </is>
      </c>
      <c r="M485" t="inlineStr">
        <is>
          <t>S01</t>
        </is>
      </c>
    </row>
    <row r="486">
      <c r="A486" t="inlineStr">
        <is>
          <t>2026-07-31</t>
        </is>
      </c>
      <c r="B486" t="inlineStr">
        <is>
          <t>PIG-B04</t>
        </is>
      </c>
      <c r="C486" t="inlineStr">
        <is>
          <t>Pen 2</t>
        </is>
      </c>
      <c r="D486" t="inlineStr">
        <is>
          <t>Pig finisher</t>
        </is>
      </c>
      <c r="E486" t="n">
        <v>23.3</v>
      </c>
      <c r="F486" t="n">
        <v>56.7</v>
      </c>
      <c r="G486" t="n">
        <v>0</v>
      </c>
      <c r="H486" t="n">
        <v>0</v>
      </c>
      <c r="I486">
        <f>IFERROR(INDEX(P1_PIG_BATCHES!$E:$E,MATCH(B486,P1_PIG_BATCHES!$A:$A,0))-G486-H486,0)</f>
        <v/>
      </c>
      <c r="J486" t="n">
        <v>23.2</v>
      </c>
      <c r="K486" t="inlineStr">
        <is>
          <t>Dry</t>
        </is>
      </c>
      <c r="M486" t="inlineStr">
        <is>
          <t>S01</t>
        </is>
      </c>
    </row>
    <row r="487">
      <c r="A487" t="inlineStr">
        <is>
          <t>2026-08-01</t>
        </is>
      </c>
      <c r="B487" t="inlineStr">
        <is>
          <t>PIG-B04</t>
        </is>
      </c>
      <c r="C487" t="inlineStr">
        <is>
          <t>Pen 2</t>
        </is>
      </c>
      <c r="D487" t="inlineStr">
        <is>
          <t>Pig finisher</t>
        </is>
      </c>
      <c r="E487" t="n">
        <v>23</v>
      </c>
      <c r="F487" t="n">
        <v>68.09999999999999</v>
      </c>
      <c r="G487" t="n">
        <v>0</v>
      </c>
      <c r="H487" t="n">
        <v>0</v>
      </c>
      <c r="I487">
        <f>IFERROR(INDEX(P1_PIG_BATCHES!$E:$E,MATCH(B487,P1_PIG_BATCHES!$A:$A,0))-G487-H487,0)</f>
        <v/>
      </c>
      <c r="J487" t="n">
        <v>26.6</v>
      </c>
      <c r="K487" t="inlineStr">
        <is>
          <t>Dry</t>
        </is>
      </c>
      <c r="M487" t="inlineStr">
        <is>
          <t>S01</t>
        </is>
      </c>
    </row>
    <row r="488">
      <c r="A488" t="inlineStr">
        <is>
          <t>2026-08-02</t>
        </is>
      </c>
      <c r="B488" t="inlineStr">
        <is>
          <t>PIG-B04</t>
        </is>
      </c>
      <c r="C488" t="inlineStr">
        <is>
          <t>Pen 2</t>
        </is>
      </c>
      <c r="D488" t="inlineStr">
        <is>
          <t>Pig finisher</t>
        </is>
      </c>
      <c r="E488" t="n">
        <v>23.8</v>
      </c>
      <c r="F488" t="n">
        <v>57.6</v>
      </c>
      <c r="G488" t="n">
        <v>0</v>
      </c>
      <c r="H488" t="n">
        <v>0</v>
      </c>
      <c r="I488">
        <f>IFERROR(INDEX(P1_PIG_BATCHES!$E:$E,MATCH(B488,P1_PIG_BATCHES!$A:$A,0))-G488-H488,0)</f>
        <v/>
      </c>
      <c r="J488" t="n">
        <v>23.3</v>
      </c>
      <c r="K488" t="inlineStr">
        <is>
          <t>Dry</t>
        </is>
      </c>
      <c r="M488" t="inlineStr">
        <is>
          <t>S01</t>
        </is>
      </c>
    </row>
    <row r="489">
      <c r="A489" t="inlineStr">
        <is>
          <t>2026-08-03</t>
        </is>
      </c>
      <c r="B489" t="inlineStr">
        <is>
          <t>PIG-B04</t>
        </is>
      </c>
      <c r="C489" t="inlineStr">
        <is>
          <t>Pen 2</t>
        </is>
      </c>
      <c r="D489" t="inlineStr">
        <is>
          <t>Pig finisher</t>
        </is>
      </c>
      <c r="E489" t="n">
        <v>24.6</v>
      </c>
      <c r="F489" t="n">
        <v>69.09999999999999</v>
      </c>
      <c r="G489" t="n">
        <v>0</v>
      </c>
      <c r="H489" t="n">
        <v>0</v>
      </c>
      <c r="I489">
        <f>IFERROR(INDEX(P1_PIG_BATCHES!$E:$E,MATCH(B489,P1_PIG_BATCHES!$A:$A,0))-G489-H489,0)</f>
        <v/>
      </c>
      <c r="J489" t="n">
        <v>20.5</v>
      </c>
      <c r="K489" t="inlineStr">
        <is>
          <t>Dry</t>
        </is>
      </c>
      <c r="M489" t="inlineStr">
        <is>
          <t>S01</t>
        </is>
      </c>
    </row>
    <row r="490">
      <c r="A490" t="inlineStr">
        <is>
          <t>2026-08-04</t>
        </is>
      </c>
      <c r="B490" t="inlineStr">
        <is>
          <t>PIG-B04</t>
        </is>
      </c>
      <c r="C490" t="inlineStr">
        <is>
          <t>Pen 2</t>
        </is>
      </c>
      <c r="D490" t="inlineStr">
        <is>
          <t>Pig finisher</t>
        </is>
      </c>
      <c r="E490" t="n">
        <v>24.1</v>
      </c>
      <c r="F490" t="n">
        <v>64.59999999999999</v>
      </c>
      <c r="G490" t="n">
        <v>0</v>
      </c>
      <c r="H490" t="n">
        <v>0</v>
      </c>
      <c r="I490">
        <f>IFERROR(INDEX(P1_PIG_BATCHES!$E:$E,MATCH(B490,P1_PIG_BATCHES!$A:$A,0))-G490-H490,0)</f>
        <v/>
      </c>
      <c r="J490" t="n">
        <v>20.5</v>
      </c>
      <c r="K490" t="inlineStr">
        <is>
          <t>Dry</t>
        </is>
      </c>
      <c r="M490" t="inlineStr">
        <is>
          <t>S01</t>
        </is>
      </c>
    </row>
    <row r="491">
      <c r="A491" t="inlineStr">
        <is>
          <t>2026-08-05</t>
        </is>
      </c>
      <c r="B491" t="inlineStr">
        <is>
          <t>PIG-B04</t>
        </is>
      </c>
      <c r="C491" t="inlineStr">
        <is>
          <t>Pen 2</t>
        </is>
      </c>
      <c r="D491" t="inlineStr">
        <is>
          <t>Pig finisher</t>
        </is>
      </c>
      <c r="E491" t="n">
        <v>25.2</v>
      </c>
      <c r="F491" t="n">
        <v>61.7</v>
      </c>
      <c r="G491" t="n">
        <v>0</v>
      </c>
      <c r="H491" t="n">
        <v>0</v>
      </c>
      <c r="I491">
        <f>IFERROR(INDEX(P1_PIG_BATCHES!$E:$E,MATCH(B491,P1_PIG_BATCHES!$A:$A,0))-G491-H491,0)</f>
        <v/>
      </c>
      <c r="J491" t="n">
        <v>27.4</v>
      </c>
      <c r="K491" t="inlineStr">
        <is>
          <t>Dry</t>
        </is>
      </c>
      <c r="M491" t="inlineStr">
        <is>
          <t>S01</t>
        </is>
      </c>
    </row>
    <row r="492">
      <c r="A492" t="inlineStr">
        <is>
          <t>2026-08-06</t>
        </is>
      </c>
      <c r="B492" t="inlineStr">
        <is>
          <t>PIG-B04</t>
        </is>
      </c>
      <c r="C492" t="inlineStr">
        <is>
          <t>Pen 2</t>
        </is>
      </c>
      <c r="D492" t="inlineStr">
        <is>
          <t>Pig finisher</t>
        </is>
      </c>
      <c r="E492" t="n">
        <v>23.3</v>
      </c>
      <c r="F492" t="n">
        <v>58.3</v>
      </c>
      <c r="G492" t="n">
        <v>0</v>
      </c>
      <c r="H492" t="n">
        <v>0</v>
      </c>
      <c r="I492">
        <f>IFERROR(INDEX(P1_PIG_BATCHES!$E:$E,MATCH(B492,P1_PIG_BATCHES!$A:$A,0))-G492-H492,0)</f>
        <v/>
      </c>
      <c r="J492" t="n">
        <v>22.9</v>
      </c>
      <c r="K492" t="inlineStr">
        <is>
          <t>Dry</t>
        </is>
      </c>
      <c r="M492" t="inlineStr">
        <is>
          <t>S01</t>
        </is>
      </c>
    </row>
    <row r="493">
      <c r="A493" t="inlineStr">
        <is>
          <t>2026-08-07</t>
        </is>
      </c>
      <c r="B493" t="inlineStr">
        <is>
          <t>PIG-B04</t>
        </is>
      </c>
      <c r="C493" t="inlineStr">
        <is>
          <t>Pen 2</t>
        </is>
      </c>
      <c r="D493" t="inlineStr">
        <is>
          <t>Pig finisher</t>
        </is>
      </c>
      <c r="E493" t="n">
        <v>23.8</v>
      </c>
      <c r="F493" t="n">
        <v>65.2</v>
      </c>
      <c r="G493" t="n">
        <v>0</v>
      </c>
      <c r="H493" t="n">
        <v>0</v>
      </c>
      <c r="I493">
        <f>IFERROR(INDEX(P1_PIG_BATCHES!$E:$E,MATCH(B493,P1_PIG_BATCHES!$A:$A,0))-G493-H493,0)</f>
        <v/>
      </c>
      <c r="J493" t="n">
        <v>26.3</v>
      </c>
      <c r="K493" t="inlineStr">
        <is>
          <t>Dry</t>
        </is>
      </c>
      <c r="M493" t="inlineStr">
        <is>
          <t>S01</t>
        </is>
      </c>
    </row>
    <row r="494">
      <c r="A494" t="inlineStr">
        <is>
          <t>2026-08-08</t>
        </is>
      </c>
      <c r="B494" t="inlineStr">
        <is>
          <t>PIG-B04</t>
        </is>
      </c>
      <c r="C494" t="inlineStr">
        <is>
          <t>Pen 2</t>
        </is>
      </c>
      <c r="D494" t="inlineStr">
        <is>
          <t>Pig finisher</t>
        </is>
      </c>
      <c r="E494" t="n">
        <v>21.9</v>
      </c>
      <c r="F494" t="n">
        <v>57.1</v>
      </c>
      <c r="G494" t="n">
        <v>0</v>
      </c>
      <c r="H494" t="n">
        <v>0</v>
      </c>
      <c r="I494">
        <f>IFERROR(INDEX(P1_PIG_BATCHES!$E:$E,MATCH(B494,P1_PIG_BATCHES!$A:$A,0))-G494-H494,0)</f>
        <v/>
      </c>
      <c r="J494" t="n">
        <v>25.2</v>
      </c>
      <c r="K494" t="inlineStr">
        <is>
          <t>Dry</t>
        </is>
      </c>
      <c r="M494" t="inlineStr">
        <is>
          <t>S01</t>
        </is>
      </c>
    </row>
    <row r="495">
      <c r="A495" t="inlineStr">
        <is>
          <t>2026-08-09</t>
        </is>
      </c>
      <c r="B495" t="inlineStr">
        <is>
          <t>PIG-B04</t>
        </is>
      </c>
      <c r="C495" t="inlineStr">
        <is>
          <t>Pen 2</t>
        </is>
      </c>
      <c r="D495" t="inlineStr">
        <is>
          <t>Pig finisher</t>
        </is>
      </c>
      <c r="E495" t="n">
        <v>23.7</v>
      </c>
      <c r="F495" t="n">
        <v>64.3</v>
      </c>
      <c r="G495" t="n">
        <v>0</v>
      </c>
      <c r="H495" t="n">
        <v>0</v>
      </c>
      <c r="I495">
        <f>IFERROR(INDEX(P1_PIG_BATCHES!$E:$E,MATCH(B495,P1_PIG_BATCHES!$A:$A,0))-G495-H495,0)</f>
        <v/>
      </c>
      <c r="J495" t="n">
        <v>24.8</v>
      </c>
      <c r="K495" t="inlineStr">
        <is>
          <t>Dry</t>
        </is>
      </c>
      <c r="M495" t="inlineStr">
        <is>
          <t>S01</t>
        </is>
      </c>
    </row>
    <row r="496">
      <c r="A496" t="inlineStr">
        <is>
          <t>2026-08-10</t>
        </is>
      </c>
      <c r="B496" t="inlineStr">
        <is>
          <t>PIG-B04</t>
        </is>
      </c>
      <c r="C496" t="inlineStr">
        <is>
          <t>Pen 2</t>
        </is>
      </c>
      <c r="D496" t="inlineStr">
        <is>
          <t>Pig finisher</t>
        </is>
      </c>
      <c r="E496" t="n">
        <v>22.3</v>
      </c>
      <c r="F496" t="n">
        <v>50.4</v>
      </c>
      <c r="G496" t="n">
        <v>0</v>
      </c>
      <c r="H496" t="n">
        <v>0</v>
      </c>
      <c r="I496">
        <f>IFERROR(INDEX(P1_PIG_BATCHES!$E:$E,MATCH(B496,P1_PIG_BATCHES!$A:$A,0))-G496-H496,0)</f>
        <v/>
      </c>
      <c r="J496" t="n">
        <v>27.5</v>
      </c>
      <c r="K496" t="inlineStr">
        <is>
          <t>Dry</t>
        </is>
      </c>
      <c r="M496" t="inlineStr">
        <is>
          <t>S01</t>
        </is>
      </c>
    </row>
    <row r="497">
      <c r="A497" t="inlineStr">
        <is>
          <t>2026-08-11</t>
        </is>
      </c>
      <c r="B497" t="inlineStr">
        <is>
          <t>PIG-B04</t>
        </is>
      </c>
      <c r="C497" t="inlineStr">
        <is>
          <t>Pen 2</t>
        </is>
      </c>
      <c r="D497" t="inlineStr">
        <is>
          <t>Pig finisher</t>
        </is>
      </c>
      <c r="E497" t="n">
        <v>27</v>
      </c>
      <c r="F497" t="n">
        <v>65.2</v>
      </c>
      <c r="G497" t="n">
        <v>0</v>
      </c>
      <c r="H497" t="n">
        <v>0</v>
      </c>
      <c r="I497">
        <f>IFERROR(INDEX(P1_PIG_BATCHES!$E:$E,MATCH(B497,P1_PIG_BATCHES!$A:$A,0))-G497-H497,0)</f>
        <v/>
      </c>
      <c r="J497" t="n">
        <v>25.5</v>
      </c>
      <c r="K497" t="inlineStr">
        <is>
          <t>Dry</t>
        </is>
      </c>
      <c r="M497" t="inlineStr">
        <is>
          <t>S01</t>
        </is>
      </c>
    </row>
    <row r="498">
      <c r="A498" t="inlineStr">
        <is>
          <t>2026-08-12</t>
        </is>
      </c>
      <c r="B498" t="inlineStr">
        <is>
          <t>PIG-B04</t>
        </is>
      </c>
      <c r="C498" t="inlineStr">
        <is>
          <t>Pen 2</t>
        </is>
      </c>
      <c r="D498" t="inlineStr">
        <is>
          <t>Pig finisher</t>
        </is>
      </c>
      <c r="E498" t="n">
        <v>23.9</v>
      </c>
      <c r="F498" t="n">
        <v>55.6</v>
      </c>
      <c r="G498" t="n">
        <v>0</v>
      </c>
      <c r="H498" t="n">
        <v>0</v>
      </c>
      <c r="I498">
        <f>IFERROR(INDEX(P1_PIG_BATCHES!$E:$E,MATCH(B498,P1_PIG_BATCHES!$A:$A,0))-G498-H498,0)</f>
        <v/>
      </c>
      <c r="J498" t="n">
        <v>25.9</v>
      </c>
      <c r="K498" t="inlineStr">
        <is>
          <t>Dry</t>
        </is>
      </c>
      <c r="M498" t="inlineStr">
        <is>
          <t>S01</t>
        </is>
      </c>
    </row>
    <row r="499">
      <c r="A499" t="inlineStr">
        <is>
          <t>2026-08-13</t>
        </is>
      </c>
      <c r="B499" t="inlineStr">
        <is>
          <t>PIG-B04</t>
        </is>
      </c>
      <c r="C499" t="inlineStr">
        <is>
          <t>Pen 2</t>
        </is>
      </c>
      <c r="D499" t="inlineStr">
        <is>
          <t>Pig finisher</t>
        </is>
      </c>
      <c r="E499" t="n">
        <v>27.2</v>
      </c>
      <c r="F499" t="n">
        <v>77.09999999999999</v>
      </c>
      <c r="G499" t="n">
        <v>0</v>
      </c>
      <c r="H499" t="n">
        <v>0</v>
      </c>
      <c r="I499">
        <f>IFERROR(INDEX(P1_PIG_BATCHES!$E:$E,MATCH(B499,P1_PIG_BATCHES!$A:$A,0))-G499-H499,0)</f>
        <v/>
      </c>
      <c r="J499" t="n">
        <v>24.7</v>
      </c>
      <c r="K499" t="inlineStr">
        <is>
          <t>Dry</t>
        </is>
      </c>
      <c r="M499" t="inlineStr">
        <is>
          <t>S01</t>
        </is>
      </c>
    </row>
    <row r="500">
      <c r="A500" t="inlineStr">
        <is>
          <t>2026-08-14</t>
        </is>
      </c>
      <c r="B500" t="inlineStr">
        <is>
          <t>PIG-B04</t>
        </is>
      </c>
      <c r="C500" t="inlineStr">
        <is>
          <t>Pen 2</t>
        </is>
      </c>
      <c r="D500" t="inlineStr">
        <is>
          <t>Pig finisher</t>
        </is>
      </c>
      <c r="E500" t="n">
        <v>26.7</v>
      </c>
      <c r="F500" t="n">
        <v>74</v>
      </c>
      <c r="G500" t="n">
        <v>0</v>
      </c>
      <c r="H500" t="n">
        <v>0</v>
      </c>
      <c r="I500">
        <f>IFERROR(INDEX(P1_PIG_BATCHES!$E:$E,MATCH(B500,P1_PIG_BATCHES!$A:$A,0))-G500-H500,0)</f>
        <v/>
      </c>
      <c r="J500" t="n">
        <v>25.1</v>
      </c>
      <c r="K500" t="inlineStr">
        <is>
          <t>Dry</t>
        </is>
      </c>
      <c r="M500" t="inlineStr">
        <is>
          <t>S01</t>
        </is>
      </c>
    </row>
    <row r="501">
      <c r="A501" t="inlineStr">
        <is>
          <t>2026-08-15</t>
        </is>
      </c>
      <c r="B501" t="inlineStr">
        <is>
          <t>PIG-B04</t>
        </is>
      </c>
      <c r="C501" t="inlineStr">
        <is>
          <t>Pen 2</t>
        </is>
      </c>
      <c r="D501" t="inlineStr">
        <is>
          <t>Pig finisher</t>
        </is>
      </c>
      <c r="E501" t="n">
        <v>24.3</v>
      </c>
      <c r="F501" t="n">
        <v>61.6</v>
      </c>
      <c r="G501" t="n">
        <v>0</v>
      </c>
      <c r="H501" t="n">
        <v>0</v>
      </c>
      <c r="I501">
        <f>IFERROR(INDEX(P1_PIG_BATCHES!$E:$E,MATCH(B501,P1_PIG_BATCHES!$A:$A,0))-G501-H501,0)</f>
        <v/>
      </c>
      <c r="J501" t="n">
        <v>23.2</v>
      </c>
      <c r="K501" t="inlineStr">
        <is>
          <t>Dry</t>
        </is>
      </c>
      <c r="M501" t="inlineStr">
        <is>
          <t>S01</t>
        </is>
      </c>
    </row>
    <row r="502">
      <c r="A502" t="inlineStr">
        <is>
          <t>2026-08-16</t>
        </is>
      </c>
      <c r="B502" t="inlineStr">
        <is>
          <t>PIG-B04</t>
        </is>
      </c>
      <c r="C502" t="inlineStr">
        <is>
          <t>Pen 2</t>
        </is>
      </c>
      <c r="D502" t="inlineStr">
        <is>
          <t>Pig finisher</t>
        </is>
      </c>
      <c r="E502" t="n">
        <v>27.3</v>
      </c>
      <c r="F502" t="n">
        <v>72.5</v>
      </c>
      <c r="G502" t="n">
        <v>0</v>
      </c>
      <c r="H502" t="n">
        <v>0</v>
      </c>
      <c r="I502">
        <f>IFERROR(INDEX(P1_PIG_BATCHES!$E:$E,MATCH(B502,P1_PIG_BATCHES!$A:$A,0))-G502-H502,0)</f>
        <v/>
      </c>
      <c r="J502" t="n">
        <v>21.8</v>
      </c>
      <c r="K502" t="inlineStr">
        <is>
          <t>Dry</t>
        </is>
      </c>
      <c r="M502" t="inlineStr">
        <is>
          <t>S01</t>
        </is>
      </c>
    </row>
    <row r="503">
      <c r="A503" t="inlineStr">
        <is>
          <t>2026-08-17</t>
        </is>
      </c>
      <c r="B503" t="inlineStr">
        <is>
          <t>PIG-B04</t>
        </is>
      </c>
      <c r="C503" t="inlineStr">
        <is>
          <t>Pen 2</t>
        </is>
      </c>
      <c r="D503" t="inlineStr">
        <is>
          <t>Pig finisher</t>
        </is>
      </c>
      <c r="E503" t="n">
        <v>24.5</v>
      </c>
      <c r="F503" t="n">
        <v>64.40000000000001</v>
      </c>
      <c r="G503" t="n">
        <v>0</v>
      </c>
      <c r="H503" t="n">
        <v>0</v>
      </c>
      <c r="I503">
        <f>IFERROR(INDEX(P1_PIG_BATCHES!$E:$E,MATCH(B503,P1_PIG_BATCHES!$A:$A,0))-G503-H503,0)</f>
        <v/>
      </c>
      <c r="J503" t="n">
        <v>26.1</v>
      </c>
      <c r="K503" t="inlineStr">
        <is>
          <t>Dry</t>
        </is>
      </c>
      <c r="M503" t="inlineStr">
        <is>
          <t>S01</t>
        </is>
      </c>
    </row>
    <row r="504">
      <c r="A504" t="inlineStr">
        <is>
          <t>2026-08-18</t>
        </is>
      </c>
      <c r="B504" t="inlineStr">
        <is>
          <t>PIG-B04</t>
        </is>
      </c>
      <c r="C504" t="inlineStr">
        <is>
          <t>Pen 2</t>
        </is>
      </c>
      <c r="D504" t="inlineStr">
        <is>
          <t>Pig finisher</t>
        </is>
      </c>
      <c r="E504" t="n">
        <v>27.6</v>
      </c>
      <c r="F504" t="n">
        <v>71.90000000000001</v>
      </c>
      <c r="G504" t="n">
        <v>0</v>
      </c>
      <c r="H504" t="n">
        <v>0</v>
      </c>
      <c r="I504">
        <f>IFERROR(INDEX(P1_PIG_BATCHES!$E:$E,MATCH(B504,P1_PIG_BATCHES!$A:$A,0))-G504-H504,0)</f>
        <v/>
      </c>
      <c r="J504" t="n">
        <v>26.5</v>
      </c>
      <c r="K504" t="inlineStr">
        <is>
          <t>Dry</t>
        </is>
      </c>
      <c r="M504" t="inlineStr">
        <is>
          <t>S01</t>
        </is>
      </c>
    </row>
    <row r="505">
      <c r="A505" t="inlineStr">
        <is>
          <t>2026-08-19</t>
        </is>
      </c>
      <c r="B505" t="inlineStr">
        <is>
          <t>PIG-B04</t>
        </is>
      </c>
      <c r="C505" t="inlineStr">
        <is>
          <t>Pen 2</t>
        </is>
      </c>
      <c r="D505" t="inlineStr">
        <is>
          <t>Pig finisher</t>
        </is>
      </c>
      <c r="E505" t="n">
        <v>29.1</v>
      </c>
      <c r="F505" t="n">
        <v>68.40000000000001</v>
      </c>
      <c r="G505" t="n">
        <v>0</v>
      </c>
      <c r="H505" t="n">
        <v>0</v>
      </c>
      <c r="I505">
        <f>IFERROR(INDEX(P1_PIG_BATCHES!$E:$E,MATCH(B505,P1_PIG_BATCHES!$A:$A,0))-G505-H505,0)</f>
        <v/>
      </c>
      <c r="J505" t="n">
        <v>21.1</v>
      </c>
      <c r="K505" t="inlineStr">
        <is>
          <t>Dry</t>
        </is>
      </c>
      <c r="M505" t="inlineStr">
        <is>
          <t>S01</t>
        </is>
      </c>
    </row>
    <row r="506">
      <c r="A506" t="inlineStr">
        <is>
          <t>2026-08-20</t>
        </is>
      </c>
      <c r="B506" t="inlineStr">
        <is>
          <t>PIG-B04</t>
        </is>
      </c>
      <c r="C506" t="inlineStr">
        <is>
          <t>Pen 2</t>
        </is>
      </c>
      <c r="D506" t="inlineStr">
        <is>
          <t>Pig finisher</t>
        </is>
      </c>
      <c r="E506" t="n">
        <v>25.4</v>
      </c>
      <c r="F506" t="n">
        <v>72.09999999999999</v>
      </c>
      <c r="G506" t="n">
        <v>0</v>
      </c>
      <c r="H506" t="n">
        <v>0</v>
      </c>
      <c r="I506">
        <f>IFERROR(INDEX(P1_PIG_BATCHES!$E:$E,MATCH(B506,P1_PIG_BATCHES!$A:$A,0))-G506-H506,0)</f>
        <v/>
      </c>
      <c r="J506" t="n">
        <v>25.9</v>
      </c>
      <c r="K506" t="inlineStr">
        <is>
          <t>Dry</t>
        </is>
      </c>
      <c r="M506" t="inlineStr">
        <is>
          <t>S01</t>
        </is>
      </c>
    </row>
    <row r="507">
      <c r="A507" t="inlineStr">
        <is>
          <t>2026-08-21</t>
        </is>
      </c>
      <c r="B507" t="inlineStr">
        <is>
          <t>PIG-B04</t>
        </is>
      </c>
      <c r="C507" t="inlineStr">
        <is>
          <t>Pen 2</t>
        </is>
      </c>
      <c r="D507" t="inlineStr">
        <is>
          <t>Pig finisher</t>
        </is>
      </c>
      <c r="E507" t="n">
        <v>28.4</v>
      </c>
      <c r="F507" t="n">
        <v>70.2</v>
      </c>
      <c r="G507" t="n">
        <v>0</v>
      </c>
      <c r="H507" t="n">
        <v>0</v>
      </c>
      <c r="I507">
        <f>IFERROR(INDEX(P1_PIG_BATCHES!$E:$E,MATCH(B507,P1_PIG_BATCHES!$A:$A,0))-G507-H507,0)</f>
        <v/>
      </c>
      <c r="J507" t="n">
        <v>21</v>
      </c>
      <c r="K507" t="inlineStr">
        <is>
          <t>Dry</t>
        </is>
      </c>
      <c r="M507" t="inlineStr">
        <is>
          <t>S01</t>
        </is>
      </c>
    </row>
    <row r="508">
      <c r="A508" t="inlineStr">
        <is>
          <t>2026-08-22</t>
        </is>
      </c>
      <c r="B508" t="inlineStr">
        <is>
          <t>PIG-B04</t>
        </is>
      </c>
      <c r="C508" t="inlineStr">
        <is>
          <t>Pen 2</t>
        </is>
      </c>
      <c r="D508" t="inlineStr">
        <is>
          <t>Pig finisher</t>
        </is>
      </c>
      <c r="E508" t="n">
        <v>29</v>
      </c>
      <c r="F508" t="n">
        <v>71</v>
      </c>
      <c r="G508" t="n">
        <v>0</v>
      </c>
      <c r="H508" t="n">
        <v>0</v>
      </c>
      <c r="I508">
        <f>IFERROR(INDEX(P1_PIG_BATCHES!$E:$E,MATCH(B508,P1_PIG_BATCHES!$A:$A,0))-G508-H508,0)</f>
        <v/>
      </c>
      <c r="J508" t="n">
        <v>26.1</v>
      </c>
      <c r="K508" t="inlineStr">
        <is>
          <t>Dry</t>
        </is>
      </c>
      <c r="M508" t="inlineStr">
        <is>
          <t>S01</t>
        </is>
      </c>
    </row>
    <row r="509">
      <c r="A509" t="inlineStr">
        <is>
          <t>2026-08-23</t>
        </is>
      </c>
      <c r="B509" t="inlineStr">
        <is>
          <t>PIG-B04</t>
        </is>
      </c>
      <c r="C509" t="inlineStr">
        <is>
          <t>Pen 2</t>
        </is>
      </c>
      <c r="D509" t="inlineStr">
        <is>
          <t>Pig finisher</t>
        </is>
      </c>
      <c r="E509" t="n">
        <v>26.1</v>
      </c>
      <c r="F509" t="n">
        <v>63.7</v>
      </c>
      <c r="G509" t="n">
        <v>0</v>
      </c>
      <c r="H509" t="n">
        <v>0</v>
      </c>
      <c r="I509">
        <f>IFERROR(INDEX(P1_PIG_BATCHES!$E:$E,MATCH(B509,P1_PIG_BATCHES!$A:$A,0))-G509-H509,0)</f>
        <v/>
      </c>
      <c r="J509" t="n">
        <v>26.5</v>
      </c>
      <c r="K509" t="inlineStr">
        <is>
          <t>Dry</t>
        </is>
      </c>
      <c r="M509" t="inlineStr">
        <is>
          <t>S01</t>
        </is>
      </c>
    </row>
    <row r="510">
      <c r="A510" t="inlineStr">
        <is>
          <t>2026-08-24</t>
        </is>
      </c>
      <c r="B510" t="inlineStr">
        <is>
          <t>PIG-B04</t>
        </is>
      </c>
      <c r="C510" t="inlineStr">
        <is>
          <t>Pen 2</t>
        </is>
      </c>
      <c r="D510" t="inlineStr">
        <is>
          <t>Pig finisher</t>
        </is>
      </c>
      <c r="E510" t="n">
        <v>30.3</v>
      </c>
      <c r="F510" t="n">
        <v>80.8</v>
      </c>
      <c r="G510" t="n">
        <v>0</v>
      </c>
      <c r="H510" t="n">
        <v>0</v>
      </c>
      <c r="I510">
        <f>IFERROR(INDEX(P1_PIG_BATCHES!$E:$E,MATCH(B510,P1_PIG_BATCHES!$A:$A,0))-G510-H510,0)</f>
        <v/>
      </c>
      <c r="J510" t="n">
        <v>27.2</v>
      </c>
      <c r="K510" t="inlineStr">
        <is>
          <t>Dry</t>
        </is>
      </c>
      <c r="M510" t="inlineStr">
        <is>
          <t>S01</t>
        </is>
      </c>
    </row>
    <row r="511">
      <c r="A511" t="inlineStr">
        <is>
          <t>2026-08-25</t>
        </is>
      </c>
      <c r="B511" t="inlineStr">
        <is>
          <t>PIG-B04</t>
        </is>
      </c>
      <c r="C511" t="inlineStr">
        <is>
          <t>Pen 2</t>
        </is>
      </c>
      <c r="D511" t="inlineStr">
        <is>
          <t>Pig finisher</t>
        </is>
      </c>
      <c r="E511" t="n">
        <v>30.7</v>
      </c>
      <c r="F511" t="n">
        <v>79.8</v>
      </c>
      <c r="G511" t="n">
        <v>0</v>
      </c>
      <c r="H511" t="n">
        <v>0</v>
      </c>
      <c r="I511">
        <f>IFERROR(INDEX(P1_PIG_BATCHES!$E:$E,MATCH(B511,P1_PIG_BATCHES!$A:$A,0))-G511-H511,0)</f>
        <v/>
      </c>
      <c r="J511" t="n">
        <v>26.6</v>
      </c>
      <c r="K511" t="inlineStr">
        <is>
          <t>Dry</t>
        </is>
      </c>
      <c r="M511" t="inlineStr">
        <is>
          <t>S01</t>
        </is>
      </c>
    </row>
    <row r="512">
      <c r="A512" t="inlineStr">
        <is>
          <t>2026-08-26</t>
        </is>
      </c>
      <c r="B512" t="inlineStr">
        <is>
          <t>PIG-B04</t>
        </is>
      </c>
      <c r="C512" t="inlineStr">
        <is>
          <t>Pen 2</t>
        </is>
      </c>
      <c r="D512" t="inlineStr">
        <is>
          <t>Pig finisher</t>
        </is>
      </c>
      <c r="E512" t="n">
        <v>27</v>
      </c>
      <c r="F512" t="n">
        <v>60.8</v>
      </c>
      <c r="G512" t="n">
        <v>0</v>
      </c>
      <c r="H512" t="n">
        <v>0</v>
      </c>
      <c r="I512">
        <f>IFERROR(INDEX(P1_PIG_BATCHES!$E:$E,MATCH(B512,P1_PIG_BATCHES!$A:$A,0))-G512-H512,0)</f>
        <v/>
      </c>
      <c r="J512" t="n">
        <v>26.6</v>
      </c>
      <c r="K512" t="inlineStr">
        <is>
          <t>Dry</t>
        </is>
      </c>
      <c r="M512" t="inlineStr">
        <is>
          <t>S01</t>
        </is>
      </c>
    </row>
    <row r="513">
      <c r="A513" t="inlineStr">
        <is>
          <t>2026-08-27</t>
        </is>
      </c>
      <c r="B513" t="inlineStr">
        <is>
          <t>PIG-B04</t>
        </is>
      </c>
      <c r="C513" t="inlineStr">
        <is>
          <t>Pen 2</t>
        </is>
      </c>
      <c r="D513" t="inlineStr">
        <is>
          <t>Pig finisher</t>
        </is>
      </c>
      <c r="E513" t="n">
        <v>26.5</v>
      </c>
      <c r="F513" t="n">
        <v>67</v>
      </c>
      <c r="G513" t="n">
        <v>0</v>
      </c>
      <c r="H513" t="n">
        <v>0</v>
      </c>
      <c r="I513">
        <f>IFERROR(INDEX(P1_PIG_BATCHES!$E:$E,MATCH(B513,P1_PIG_BATCHES!$A:$A,0))-G513-H513,0)</f>
        <v/>
      </c>
      <c r="J513" t="n">
        <v>24.5</v>
      </c>
      <c r="K513" t="inlineStr">
        <is>
          <t>Dry</t>
        </is>
      </c>
      <c r="M513" t="inlineStr">
        <is>
          <t>S01</t>
        </is>
      </c>
    </row>
    <row r="514">
      <c r="A514" t="inlineStr">
        <is>
          <t>2026-08-28</t>
        </is>
      </c>
      <c r="B514" t="inlineStr">
        <is>
          <t>PIG-B04</t>
        </is>
      </c>
      <c r="C514" t="inlineStr">
        <is>
          <t>Pen 2</t>
        </is>
      </c>
      <c r="D514" t="inlineStr">
        <is>
          <t>Pig finisher</t>
        </is>
      </c>
      <c r="E514" t="n">
        <v>28.5</v>
      </c>
      <c r="F514" t="n">
        <v>70</v>
      </c>
      <c r="G514" t="n">
        <v>0</v>
      </c>
      <c r="H514" t="n">
        <v>0</v>
      </c>
      <c r="I514">
        <f>IFERROR(INDEX(P1_PIG_BATCHES!$E:$E,MATCH(B514,P1_PIG_BATCHES!$A:$A,0))-G514-H514,0)</f>
        <v/>
      </c>
      <c r="J514" t="n">
        <v>25.6</v>
      </c>
      <c r="K514" t="inlineStr">
        <is>
          <t>Dry</t>
        </is>
      </c>
      <c r="M514" t="inlineStr">
        <is>
          <t>S01</t>
        </is>
      </c>
    </row>
    <row r="515">
      <c r="A515" t="inlineStr">
        <is>
          <t>2026-08-29</t>
        </is>
      </c>
      <c r="B515" t="inlineStr">
        <is>
          <t>PIG-B04</t>
        </is>
      </c>
      <c r="C515" t="inlineStr">
        <is>
          <t>Pen 2</t>
        </is>
      </c>
      <c r="D515" t="inlineStr">
        <is>
          <t>Pig finisher</t>
        </is>
      </c>
      <c r="E515" t="n">
        <v>28.9</v>
      </c>
      <c r="F515" t="n">
        <v>78.09999999999999</v>
      </c>
      <c r="G515" t="n">
        <v>0</v>
      </c>
      <c r="H515" t="n">
        <v>0</v>
      </c>
      <c r="I515">
        <f>IFERROR(INDEX(P1_PIG_BATCHES!$E:$E,MATCH(B515,P1_PIG_BATCHES!$A:$A,0))-G515-H515,0)</f>
        <v/>
      </c>
      <c r="J515" t="n">
        <v>21.7</v>
      </c>
      <c r="K515" t="inlineStr">
        <is>
          <t>Dry</t>
        </is>
      </c>
      <c r="M515" t="inlineStr">
        <is>
          <t>S01</t>
        </is>
      </c>
    </row>
    <row r="516">
      <c r="A516" t="inlineStr">
        <is>
          <t>2026-08-30</t>
        </is>
      </c>
      <c r="B516" t="inlineStr">
        <is>
          <t>PIG-B04</t>
        </is>
      </c>
      <c r="C516" t="inlineStr">
        <is>
          <t>Pen 2</t>
        </is>
      </c>
      <c r="D516" t="inlineStr">
        <is>
          <t>Pig finisher</t>
        </is>
      </c>
      <c r="E516" t="n">
        <v>25.8</v>
      </c>
      <c r="F516" t="n">
        <v>62.5</v>
      </c>
      <c r="G516" t="n">
        <v>0</v>
      </c>
      <c r="H516" t="n">
        <v>0</v>
      </c>
      <c r="I516">
        <f>IFERROR(INDEX(P1_PIG_BATCHES!$E:$E,MATCH(B516,P1_PIG_BATCHES!$A:$A,0))-G516-H516,0)</f>
        <v/>
      </c>
      <c r="J516" t="n">
        <v>25.9</v>
      </c>
      <c r="K516" t="inlineStr">
        <is>
          <t>Dry</t>
        </is>
      </c>
      <c r="M516" t="inlineStr">
        <is>
          <t>S01</t>
        </is>
      </c>
    </row>
    <row r="517">
      <c r="A517" t="inlineStr">
        <is>
          <t>2026-08-31</t>
        </is>
      </c>
      <c r="B517" t="inlineStr">
        <is>
          <t>PIG-B04</t>
        </is>
      </c>
      <c r="C517" t="inlineStr">
        <is>
          <t>Pen 2</t>
        </is>
      </c>
      <c r="D517" t="inlineStr">
        <is>
          <t>Pig finisher</t>
        </is>
      </c>
      <c r="E517" t="n">
        <v>31.4</v>
      </c>
      <c r="F517" t="n">
        <v>81.40000000000001</v>
      </c>
      <c r="G517" t="n">
        <v>0</v>
      </c>
      <c r="H517" t="n">
        <v>0</v>
      </c>
      <c r="I517">
        <f>IFERROR(INDEX(P1_PIG_BATCHES!$E:$E,MATCH(B517,P1_PIG_BATCHES!$A:$A,0))-G517-H517,0)</f>
        <v/>
      </c>
      <c r="J517" t="n">
        <v>25.9</v>
      </c>
      <c r="K517" t="inlineStr">
        <is>
          <t>Dry</t>
        </is>
      </c>
      <c r="M517" t="inlineStr">
        <is>
          <t>S01</t>
        </is>
      </c>
    </row>
    <row r="518">
      <c r="A518" t="inlineStr">
        <is>
          <t>2026-09-01</t>
        </is>
      </c>
      <c r="B518" t="inlineStr">
        <is>
          <t>PIG-B04</t>
        </is>
      </c>
      <c r="C518" t="inlineStr">
        <is>
          <t>Pen 2</t>
        </is>
      </c>
      <c r="D518" t="inlineStr">
        <is>
          <t>Pig finisher</t>
        </is>
      </c>
      <c r="E518" t="n">
        <v>30.5</v>
      </c>
      <c r="F518" t="n">
        <v>82.5</v>
      </c>
      <c r="G518" t="n">
        <v>0</v>
      </c>
      <c r="H518" t="n">
        <v>0</v>
      </c>
      <c r="I518">
        <f>IFERROR(INDEX(P1_PIG_BATCHES!$E:$E,MATCH(B518,P1_PIG_BATCHES!$A:$A,0))-G518-H518,0)</f>
        <v/>
      </c>
      <c r="J518" t="n">
        <v>23.3</v>
      </c>
      <c r="K518" t="inlineStr">
        <is>
          <t>Dry</t>
        </is>
      </c>
      <c r="M518" t="inlineStr">
        <is>
          <t>S01</t>
        </is>
      </c>
    </row>
    <row r="519">
      <c r="A519" t="inlineStr">
        <is>
          <t>2026-09-02</t>
        </is>
      </c>
      <c r="B519" t="inlineStr">
        <is>
          <t>PIG-B04</t>
        </is>
      </c>
      <c r="C519" t="inlineStr">
        <is>
          <t>Pen 2</t>
        </is>
      </c>
      <c r="D519" t="inlineStr">
        <is>
          <t>Pig finisher</t>
        </is>
      </c>
      <c r="E519" t="n">
        <v>28.9</v>
      </c>
      <c r="F519" t="n">
        <v>64.7</v>
      </c>
      <c r="G519" t="n">
        <v>0</v>
      </c>
      <c r="H519" t="n">
        <v>0</v>
      </c>
      <c r="I519">
        <f>IFERROR(INDEX(P1_PIG_BATCHES!$E:$E,MATCH(B519,P1_PIG_BATCHES!$A:$A,0))-G519-H519,0)</f>
        <v/>
      </c>
      <c r="J519" t="n">
        <v>21.8</v>
      </c>
      <c r="K519" t="inlineStr">
        <is>
          <t>Dry</t>
        </is>
      </c>
      <c r="M519" t="inlineStr">
        <is>
          <t>S01</t>
        </is>
      </c>
    </row>
    <row r="520">
      <c r="A520" t="inlineStr">
        <is>
          <t>2026-09-03</t>
        </is>
      </c>
      <c r="B520" t="inlineStr">
        <is>
          <t>PIG-B04</t>
        </is>
      </c>
      <c r="C520" t="inlineStr">
        <is>
          <t>Pen 2</t>
        </is>
      </c>
      <c r="D520" t="inlineStr">
        <is>
          <t>Pig finisher</t>
        </is>
      </c>
      <c r="E520" t="n">
        <v>26.2</v>
      </c>
      <c r="F520" t="n">
        <v>64.5</v>
      </c>
      <c r="G520" t="n">
        <v>0</v>
      </c>
      <c r="H520" t="n">
        <v>0</v>
      </c>
      <c r="I520">
        <f>IFERROR(INDEX(P1_PIG_BATCHES!$E:$E,MATCH(B520,P1_PIG_BATCHES!$A:$A,0))-G520-H520,0)</f>
        <v/>
      </c>
      <c r="J520" t="n">
        <v>26.4</v>
      </c>
      <c r="K520" t="inlineStr">
        <is>
          <t>Dry</t>
        </is>
      </c>
      <c r="M520" t="inlineStr">
        <is>
          <t>S01</t>
        </is>
      </c>
    </row>
    <row r="521">
      <c r="A521" t="inlineStr">
        <is>
          <t>2026-09-04</t>
        </is>
      </c>
      <c r="B521" t="inlineStr">
        <is>
          <t>PIG-B04</t>
        </is>
      </c>
      <c r="C521" t="inlineStr">
        <is>
          <t>Pen 2</t>
        </is>
      </c>
      <c r="D521" t="inlineStr">
        <is>
          <t>Pig finisher</t>
        </is>
      </c>
      <c r="E521" t="n">
        <v>31</v>
      </c>
      <c r="F521" t="n">
        <v>83.7</v>
      </c>
      <c r="G521" t="n">
        <v>0</v>
      </c>
      <c r="H521" t="n">
        <v>0</v>
      </c>
      <c r="I521">
        <f>IFERROR(INDEX(P1_PIG_BATCHES!$E:$E,MATCH(B521,P1_PIG_BATCHES!$A:$A,0))-G521-H521,0)</f>
        <v/>
      </c>
      <c r="J521" t="n">
        <v>22.2</v>
      </c>
      <c r="K521" t="inlineStr">
        <is>
          <t>Dry</t>
        </is>
      </c>
      <c r="M521" t="inlineStr">
        <is>
          <t>S01</t>
        </is>
      </c>
    </row>
    <row r="522">
      <c r="A522" t="inlineStr">
        <is>
          <t>2026-09-05</t>
        </is>
      </c>
      <c r="B522" t="inlineStr">
        <is>
          <t>PIG-B04</t>
        </is>
      </c>
      <c r="C522" t="inlineStr">
        <is>
          <t>Pen 2</t>
        </is>
      </c>
      <c r="D522" t="inlineStr">
        <is>
          <t>Pig finisher</t>
        </is>
      </c>
      <c r="E522" t="n">
        <v>28.6</v>
      </c>
      <c r="F522" t="n">
        <v>66.09999999999999</v>
      </c>
      <c r="G522" t="n">
        <v>0</v>
      </c>
      <c r="H522" t="n">
        <v>0</v>
      </c>
      <c r="I522">
        <f>IFERROR(INDEX(P1_PIG_BATCHES!$E:$E,MATCH(B522,P1_PIG_BATCHES!$A:$A,0))-G522-H522,0)</f>
        <v/>
      </c>
      <c r="J522" t="n">
        <v>23.2</v>
      </c>
      <c r="K522" t="inlineStr">
        <is>
          <t>Dry</t>
        </is>
      </c>
      <c r="M522" t="inlineStr">
        <is>
          <t>S01</t>
        </is>
      </c>
    </row>
    <row r="523">
      <c r="A523" t="inlineStr">
        <is>
          <t>2026-09-06</t>
        </is>
      </c>
      <c r="B523" t="inlineStr">
        <is>
          <t>PIG-B04</t>
        </is>
      </c>
      <c r="C523" t="inlineStr">
        <is>
          <t>Pen 2</t>
        </is>
      </c>
      <c r="D523" t="inlineStr">
        <is>
          <t>Pig finisher</t>
        </is>
      </c>
      <c r="E523" t="n">
        <v>27.3</v>
      </c>
      <c r="F523" t="n">
        <v>77.90000000000001</v>
      </c>
      <c r="G523" t="n">
        <v>0</v>
      </c>
      <c r="H523" t="n">
        <v>0</v>
      </c>
      <c r="I523">
        <f>IFERROR(INDEX(P1_PIG_BATCHES!$E:$E,MATCH(B523,P1_PIG_BATCHES!$A:$A,0))-G523-H523,0)</f>
        <v/>
      </c>
      <c r="J523" t="n">
        <v>22.5</v>
      </c>
      <c r="K523" t="inlineStr">
        <is>
          <t>Dry</t>
        </is>
      </c>
      <c r="M523" t="inlineStr">
        <is>
          <t>S01</t>
        </is>
      </c>
    </row>
    <row r="524">
      <c r="A524" t="inlineStr">
        <is>
          <t>2026-09-07</t>
        </is>
      </c>
      <c r="B524" t="inlineStr">
        <is>
          <t>PIG-B04</t>
        </is>
      </c>
      <c r="C524" t="inlineStr">
        <is>
          <t>Pen 2</t>
        </is>
      </c>
      <c r="D524" t="inlineStr">
        <is>
          <t>Pig finisher</t>
        </is>
      </c>
      <c r="E524" t="n">
        <v>31.3</v>
      </c>
      <c r="F524" t="n">
        <v>83.7</v>
      </c>
      <c r="G524" t="n">
        <v>0</v>
      </c>
      <c r="H524" t="n">
        <v>0</v>
      </c>
      <c r="I524">
        <f>IFERROR(INDEX(P1_PIG_BATCHES!$E:$E,MATCH(B524,P1_PIG_BATCHES!$A:$A,0))-G524-H524,0)</f>
        <v/>
      </c>
      <c r="J524" t="n">
        <v>22.8</v>
      </c>
      <c r="K524" t="inlineStr">
        <is>
          <t>Dry</t>
        </is>
      </c>
      <c r="M524" t="inlineStr">
        <is>
          <t>S01</t>
        </is>
      </c>
    </row>
    <row r="525">
      <c r="A525" t="inlineStr">
        <is>
          <t>2026-09-08</t>
        </is>
      </c>
      <c r="B525" t="inlineStr">
        <is>
          <t>PIG-B04</t>
        </is>
      </c>
      <c r="C525" t="inlineStr">
        <is>
          <t>Pen 2</t>
        </is>
      </c>
      <c r="D525" t="inlineStr">
        <is>
          <t>Pig finisher</t>
        </is>
      </c>
      <c r="E525" t="n">
        <v>33.2</v>
      </c>
      <c r="F525" t="n">
        <v>82.2</v>
      </c>
      <c r="G525" t="n">
        <v>0</v>
      </c>
      <c r="H525" t="n">
        <v>0</v>
      </c>
      <c r="I525">
        <f>IFERROR(INDEX(P1_PIG_BATCHES!$E:$E,MATCH(B525,P1_PIG_BATCHES!$A:$A,0))-G525-H525,0)</f>
        <v/>
      </c>
      <c r="J525" t="n">
        <v>26.9</v>
      </c>
      <c r="K525" t="inlineStr">
        <is>
          <t>Dry</t>
        </is>
      </c>
      <c r="M525" t="inlineStr">
        <is>
          <t>S01</t>
        </is>
      </c>
    </row>
    <row r="526">
      <c r="A526" t="inlineStr">
        <is>
          <t>2026-09-09</t>
        </is>
      </c>
      <c r="B526" t="inlineStr">
        <is>
          <t>PIG-B04</t>
        </is>
      </c>
      <c r="C526" t="inlineStr">
        <is>
          <t>Pen 2</t>
        </is>
      </c>
      <c r="D526" t="inlineStr">
        <is>
          <t>Pig finisher</t>
        </is>
      </c>
      <c r="E526" t="n">
        <v>27.5</v>
      </c>
      <c r="F526" t="n">
        <v>81.09999999999999</v>
      </c>
      <c r="G526" t="n">
        <v>0</v>
      </c>
      <c r="H526" t="n">
        <v>0</v>
      </c>
      <c r="I526">
        <f>IFERROR(INDEX(P1_PIG_BATCHES!$E:$E,MATCH(B526,P1_PIG_BATCHES!$A:$A,0))-G526-H526,0)</f>
        <v/>
      </c>
      <c r="J526" t="n">
        <v>27</v>
      </c>
      <c r="K526" t="inlineStr">
        <is>
          <t>Dry</t>
        </is>
      </c>
      <c r="M526" t="inlineStr">
        <is>
          <t>S01</t>
        </is>
      </c>
    </row>
    <row r="527">
      <c r="A527" t="inlineStr">
        <is>
          <t>2026-09-10</t>
        </is>
      </c>
      <c r="B527" t="inlineStr">
        <is>
          <t>PIG-B04</t>
        </is>
      </c>
      <c r="C527" t="inlineStr">
        <is>
          <t>Pen 2</t>
        </is>
      </c>
      <c r="D527" t="inlineStr">
        <is>
          <t>Pig finisher</t>
        </is>
      </c>
      <c r="E527" t="n">
        <v>27.8</v>
      </c>
      <c r="F527" t="n">
        <v>77.2</v>
      </c>
      <c r="G527" t="n">
        <v>0</v>
      </c>
      <c r="H527" t="n">
        <v>0</v>
      </c>
      <c r="I527">
        <f>IFERROR(INDEX(P1_PIG_BATCHES!$E:$E,MATCH(B527,P1_PIG_BATCHES!$A:$A,0))-G527-H527,0)</f>
        <v/>
      </c>
      <c r="J527" t="n">
        <v>21.3</v>
      </c>
      <c r="K527" t="inlineStr">
        <is>
          <t>Dry</t>
        </is>
      </c>
      <c r="M527" t="inlineStr">
        <is>
          <t>S01</t>
        </is>
      </c>
    </row>
    <row r="528">
      <c r="A528" t="inlineStr">
        <is>
          <t>2026-09-11</t>
        </is>
      </c>
      <c r="B528" t="inlineStr">
        <is>
          <t>PIG-B04</t>
        </is>
      </c>
      <c r="C528" t="inlineStr">
        <is>
          <t>Pen 2</t>
        </is>
      </c>
      <c r="D528" t="inlineStr">
        <is>
          <t>Pig finisher</t>
        </is>
      </c>
      <c r="E528" t="n">
        <v>30.3</v>
      </c>
      <c r="F528" t="n">
        <v>71</v>
      </c>
      <c r="G528" t="n">
        <v>0</v>
      </c>
      <c r="H528" t="n">
        <v>0</v>
      </c>
      <c r="I528">
        <f>IFERROR(INDEX(P1_PIG_BATCHES!$E:$E,MATCH(B528,P1_PIG_BATCHES!$A:$A,0))-G528-H528,0)</f>
        <v/>
      </c>
      <c r="J528" t="n">
        <v>23</v>
      </c>
      <c r="K528" t="inlineStr">
        <is>
          <t>Dry</t>
        </is>
      </c>
      <c r="M528" t="inlineStr">
        <is>
          <t>S01</t>
        </is>
      </c>
    </row>
    <row r="529">
      <c r="A529" t="inlineStr">
        <is>
          <t>2026-09-12</t>
        </is>
      </c>
      <c r="B529" t="inlineStr">
        <is>
          <t>PIG-B04</t>
        </is>
      </c>
      <c r="C529" t="inlineStr">
        <is>
          <t>Pen 2</t>
        </is>
      </c>
      <c r="D529" t="inlineStr">
        <is>
          <t>Pig finisher</t>
        </is>
      </c>
      <c r="E529" t="n">
        <v>26.4</v>
      </c>
      <c r="F529" t="n">
        <v>76.40000000000001</v>
      </c>
      <c r="G529" t="n">
        <v>0</v>
      </c>
      <c r="H529" t="n">
        <v>0</v>
      </c>
      <c r="I529">
        <f>IFERROR(INDEX(P1_PIG_BATCHES!$E:$E,MATCH(B529,P1_PIG_BATCHES!$A:$A,0))-G529-H529,0)</f>
        <v/>
      </c>
      <c r="J529" t="n">
        <v>22.2</v>
      </c>
      <c r="K529" t="inlineStr">
        <is>
          <t>Dry</t>
        </is>
      </c>
      <c r="M529" t="inlineStr">
        <is>
          <t>S01</t>
        </is>
      </c>
    </row>
    <row r="530">
      <c r="A530" t="inlineStr">
        <is>
          <t>2026-09-13</t>
        </is>
      </c>
      <c r="B530" t="inlineStr">
        <is>
          <t>PIG-B04</t>
        </is>
      </c>
      <c r="C530" t="inlineStr">
        <is>
          <t>Pen 2</t>
        </is>
      </c>
      <c r="D530" t="inlineStr">
        <is>
          <t>Pig finisher</t>
        </is>
      </c>
      <c r="E530" t="n">
        <v>26.5</v>
      </c>
      <c r="F530" t="n">
        <v>79.09999999999999</v>
      </c>
      <c r="G530" t="n">
        <v>0</v>
      </c>
      <c r="H530" t="n">
        <v>0</v>
      </c>
      <c r="I530">
        <f>IFERROR(INDEX(P1_PIG_BATCHES!$E:$E,MATCH(B530,P1_PIG_BATCHES!$A:$A,0))-G530-H530,0)</f>
        <v/>
      </c>
      <c r="J530" t="n">
        <v>25.2</v>
      </c>
      <c r="K530" t="inlineStr">
        <is>
          <t>Dry</t>
        </is>
      </c>
      <c r="M530" t="inlineStr">
        <is>
          <t>S01</t>
        </is>
      </c>
    </row>
    <row r="531">
      <c r="A531" t="inlineStr">
        <is>
          <t>2026-09-14</t>
        </is>
      </c>
      <c r="B531" t="inlineStr">
        <is>
          <t>PIG-B04</t>
        </is>
      </c>
      <c r="C531" t="inlineStr">
        <is>
          <t>Pen 2</t>
        </is>
      </c>
      <c r="D531" t="inlineStr">
        <is>
          <t>Pig finisher</t>
        </is>
      </c>
      <c r="E531" t="n">
        <v>26.3</v>
      </c>
      <c r="F531" t="n">
        <v>72.3</v>
      </c>
      <c r="G531" t="n">
        <v>0</v>
      </c>
      <c r="H531" t="n">
        <v>0</v>
      </c>
      <c r="I531">
        <f>IFERROR(INDEX(P1_PIG_BATCHES!$E:$E,MATCH(B531,P1_PIG_BATCHES!$A:$A,0))-G531-H531,0)</f>
        <v/>
      </c>
      <c r="J531" t="n">
        <v>23.4</v>
      </c>
      <c r="K531" t="inlineStr">
        <is>
          <t>Dry</t>
        </is>
      </c>
      <c r="M531" t="inlineStr">
        <is>
          <t>S01</t>
        </is>
      </c>
    </row>
    <row r="532">
      <c r="A532" t="inlineStr">
        <is>
          <t>2026-09-15</t>
        </is>
      </c>
      <c r="B532" t="inlineStr">
        <is>
          <t>PIG-B04</t>
        </is>
      </c>
      <c r="C532" t="inlineStr">
        <is>
          <t>Pen 2</t>
        </is>
      </c>
      <c r="D532" t="inlineStr">
        <is>
          <t>Pig finisher</t>
        </is>
      </c>
      <c r="E532" t="n">
        <v>30</v>
      </c>
      <c r="F532" t="n">
        <v>77.40000000000001</v>
      </c>
      <c r="G532" t="n">
        <v>0</v>
      </c>
      <c r="H532" t="n">
        <v>0</v>
      </c>
      <c r="I532">
        <f>IFERROR(INDEX(P1_PIG_BATCHES!$E:$E,MATCH(B532,P1_PIG_BATCHES!$A:$A,0))-G532-H532,0)</f>
        <v/>
      </c>
      <c r="J532" t="n">
        <v>21.5</v>
      </c>
      <c r="K532" t="inlineStr">
        <is>
          <t>Dry</t>
        </is>
      </c>
      <c r="M532" t="inlineStr">
        <is>
          <t>S01</t>
        </is>
      </c>
    </row>
  </sheetData>
  <mergeCells count="1">
    <mergeCell ref="A1:M1"/>
  </mergeCells>
  <dataValidations count="2">
    <dataValidation sqref="D3:D500" showDropDown="0" showInputMessage="0" showErrorMessage="1" allowBlank="1" errorTitle="Invalid entry" error="Please choose a value from the list." type="list">
      <formula1>LIST_FEED_TYPE</formula1>
      <formula2>0</formula2>
    </dataValidation>
    <dataValidation sqref="K3:K500" showDropDown="0" showInputMessage="0" showErrorMessage="1" allowBlank="1" errorTitle="Invalid entry" error="Please choose a value from the list." type="list">
      <formula1>LIST_PEN_CONDITION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FFC0504D"/>
    <outlinePr summaryBelow="1" summaryRight="1"/>
    <pageSetUpPr/>
  </sheetPr>
  <dimension ref="A1:G40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4" customWidth="1" min="1" max="2"/>
    <col width="15" customWidth="1" min="3" max="3"/>
    <col width="17" customWidth="1" min="4" max="6"/>
    <col width="14" customWidth="1" min="7" max="7"/>
  </cols>
  <sheetData>
    <row r="1">
      <c r="A1" s="1" t="inlineStr">
        <is>
          <t>PURPOSE: Growth curve, ADG, days-to-market projection.   |   CADENCE: Fortnightly sample weighing   |   ENTERED BY: Attendant + supervisor</t>
        </is>
      </c>
    </row>
    <row r="2">
      <c r="A2" s="9" t="inlineStr">
        <is>
          <t>date</t>
        </is>
      </c>
      <c r="B2" s="9" t="inlineStr">
        <is>
          <t>batch_code</t>
        </is>
      </c>
      <c r="C2" s="9" t="inlineStr">
        <is>
          <t>sample_size</t>
        </is>
      </c>
      <c r="D2" s="9" t="inlineStr">
        <is>
          <t>avg_weight_kg</t>
        </is>
      </c>
      <c r="E2" s="9" t="inlineStr">
        <is>
          <t>min_weight_kg</t>
        </is>
      </c>
      <c r="F2" s="9" t="inlineStr">
        <is>
          <t>max_weight_kg</t>
        </is>
      </c>
      <c r="G2" s="9" t="inlineStr">
        <is>
          <t>age_days</t>
        </is>
      </c>
    </row>
    <row r="3">
      <c r="A3" s="8" t="inlineStr">
        <is>
          <t>2026-09-01</t>
        </is>
      </c>
      <c r="B3" s="7" t="inlineStr">
        <is>
          <t>PIG-B07</t>
        </is>
      </c>
      <c r="C3" s="7" t="n">
        <v>10</v>
      </c>
      <c r="D3" s="7" t="n">
        <v>38.2</v>
      </c>
      <c r="E3" s="7" t="n">
        <v>31</v>
      </c>
      <c r="F3" s="7" t="n">
        <v>44</v>
      </c>
      <c r="G3" s="7">
        <f>IFERROR(A3-INDEX(P1_PIG_BATCHES!$D:$D,MATCH(B3,P1_PIG_BATCHES!$A:$A,0)),"")</f>
        <v/>
      </c>
    </row>
    <row r="4">
      <c r="A4" t="inlineStr">
        <is>
          <t>2025-11-16</t>
        </is>
      </c>
      <c r="B4" t="inlineStr">
        <is>
          <t>PIG-B01</t>
        </is>
      </c>
      <c r="C4" t="n">
        <v>10</v>
      </c>
      <c r="D4" t="n">
        <v>15</v>
      </c>
      <c r="E4" t="n">
        <v>12.3</v>
      </c>
      <c r="F4" t="n">
        <v>17.7</v>
      </c>
      <c r="G4">
        <f>IFERROR(A4-INDEX(P1_PIG_BATCHES!$D:$D,MATCH(B4,P1_PIG_BATCHES!$A:$A,0)),"")</f>
        <v/>
      </c>
    </row>
    <row r="5">
      <c r="A5" t="inlineStr">
        <is>
          <t>2025-11-30</t>
        </is>
      </c>
      <c r="B5" t="inlineStr">
        <is>
          <t>PIG-B01</t>
        </is>
      </c>
      <c r="C5" t="n">
        <v>10</v>
      </c>
      <c r="D5" t="n">
        <v>23.2</v>
      </c>
      <c r="E5" t="n">
        <v>19</v>
      </c>
      <c r="F5" t="n">
        <v>27.4</v>
      </c>
      <c r="G5">
        <f>IFERROR(A5-INDEX(P1_PIG_BATCHES!$D:$D,MATCH(B5,P1_PIG_BATCHES!$A:$A,0)),"")</f>
        <v/>
      </c>
    </row>
    <row r="6">
      <c r="A6" t="inlineStr">
        <is>
          <t>2025-12-14</t>
        </is>
      </c>
      <c r="B6" t="inlineStr">
        <is>
          <t>PIG-B01</t>
        </is>
      </c>
      <c r="C6" t="n">
        <v>10</v>
      </c>
      <c r="D6" t="n">
        <v>31.5</v>
      </c>
      <c r="E6" t="n">
        <v>25.8</v>
      </c>
      <c r="F6" t="n">
        <v>37.2</v>
      </c>
      <c r="G6">
        <f>IFERROR(A6-INDEX(P1_PIG_BATCHES!$D:$D,MATCH(B6,P1_PIG_BATCHES!$A:$A,0)),"")</f>
        <v/>
      </c>
    </row>
    <row r="7">
      <c r="A7" t="inlineStr">
        <is>
          <t>2025-12-28</t>
        </is>
      </c>
      <c r="B7" t="inlineStr">
        <is>
          <t>PIG-B01</t>
        </is>
      </c>
      <c r="C7" t="n">
        <v>10</v>
      </c>
      <c r="D7" t="n">
        <v>40.2</v>
      </c>
      <c r="E7" t="n">
        <v>33</v>
      </c>
      <c r="F7" t="n">
        <v>47.4</v>
      </c>
      <c r="G7">
        <f>IFERROR(A7-INDEX(P1_PIG_BATCHES!$D:$D,MATCH(B7,P1_PIG_BATCHES!$A:$A,0)),"")</f>
        <v/>
      </c>
    </row>
    <row r="8">
      <c r="A8" t="inlineStr">
        <is>
          <t>2026-01-11</t>
        </is>
      </c>
      <c r="B8" t="inlineStr">
        <is>
          <t>PIG-B01</t>
        </is>
      </c>
      <c r="C8" t="n">
        <v>10</v>
      </c>
      <c r="D8" t="n">
        <v>48.6</v>
      </c>
      <c r="E8" t="n">
        <v>39.9</v>
      </c>
      <c r="F8" t="n">
        <v>57.3</v>
      </c>
      <c r="G8">
        <f>IFERROR(A8-INDEX(P1_PIG_BATCHES!$D:$D,MATCH(B8,P1_PIG_BATCHES!$A:$A,0)),"")</f>
        <v/>
      </c>
    </row>
    <row r="9">
      <c r="A9" t="inlineStr">
        <is>
          <t>2026-01-25</t>
        </is>
      </c>
      <c r="B9" t="inlineStr">
        <is>
          <t>PIG-B01</t>
        </is>
      </c>
      <c r="C9" t="n">
        <v>10</v>
      </c>
      <c r="D9" t="n">
        <v>57.4</v>
      </c>
      <c r="E9" t="n">
        <v>47.1</v>
      </c>
      <c r="F9" t="n">
        <v>67.7</v>
      </c>
      <c r="G9">
        <f>IFERROR(A9-INDEX(P1_PIG_BATCHES!$D:$D,MATCH(B9,P1_PIG_BATCHES!$A:$A,0)),"")</f>
        <v/>
      </c>
    </row>
    <row r="10">
      <c r="A10" t="inlineStr">
        <is>
          <t>2026-02-08</t>
        </is>
      </c>
      <c r="B10" t="inlineStr">
        <is>
          <t>PIG-B01</t>
        </is>
      </c>
      <c r="C10" t="n">
        <v>10</v>
      </c>
      <c r="D10" t="n">
        <v>67.90000000000001</v>
      </c>
      <c r="E10" t="n">
        <v>55.7</v>
      </c>
      <c r="F10" t="n">
        <v>80.09999999999999</v>
      </c>
      <c r="G10">
        <f>IFERROR(A10-INDEX(P1_PIG_BATCHES!$D:$D,MATCH(B10,P1_PIG_BATCHES!$A:$A,0)),"")</f>
        <v/>
      </c>
    </row>
    <row r="11">
      <c r="A11" t="inlineStr">
        <is>
          <t>2026-03-16</t>
        </is>
      </c>
      <c r="B11" t="inlineStr">
        <is>
          <t>PIG-B02</t>
        </is>
      </c>
      <c r="C11" t="n">
        <v>10</v>
      </c>
      <c r="D11" t="n">
        <v>17</v>
      </c>
      <c r="E11" t="n">
        <v>13.9</v>
      </c>
      <c r="F11" t="n">
        <v>20.1</v>
      </c>
      <c r="G11">
        <f>IFERROR(A11-INDEX(P1_PIG_BATCHES!$D:$D,MATCH(B11,P1_PIG_BATCHES!$A:$A,0)),"")</f>
        <v/>
      </c>
    </row>
    <row r="12">
      <c r="A12" t="inlineStr">
        <is>
          <t>2026-03-30</t>
        </is>
      </c>
      <c r="B12" t="inlineStr">
        <is>
          <t>PIG-B02</t>
        </is>
      </c>
      <c r="C12" t="n">
        <v>10</v>
      </c>
      <c r="D12" t="n">
        <v>27</v>
      </c>
      <c r="E12" t="n">
        <v>22.1</v>
      </c>
      <c r="F12" t="n">
        <v>31.9</v>
      </c>
      <c r="G12">
        <f>IFERROR(A12-INDEX(P1_PIG_BATCHES!$D:$D,MATCH(B12,P1_PIG_BATCHES!$A:$A,0)),"")</f>
        <v/>
      </c>
    </row>
    <row r="13">
      <c r="A13" t="inlineStr">
        <is>
          <t>2026-04-13</t>
        </is>
      </c>
      <c r="B13" t="inlineStr">
        <is>
          <t>PIG-B02</t>
        </is>
      </c>
      <c r="C13" t="n">
        <v>10</v>
      </c>
      <c r="D13" t="n">
        <v>34.2</v>
      </c>
      <c r="E13" t="n">
        <v>28</v>
      </c>
      <c r="F13" t="n">
        <v>40.4</v>
      </c>
      <c r="G13">
        <f>IFERROR(A13-INDEX(P1_PIG_BATCHES!$D:$D,MATCH(B13,P1_PIG_BATCHES!$A:$A,0)),"")</f>
        <v/>
      </c>
    </row>
    <row r="14">
      <c r="A14" t="inlineStr">
        <is>
          <t>2026-04-27</t>
        </is>
      </c>
      <c r="B14" t="inlineStr">
        <is>
          <t>PIG-B02</t>
        </is>
      </c>
      <c r="C14" t="n">
        <v>10</v>
      </c>
      <c r="D14" t="n">
        <v>36.3</v>
      </c>
      <c r="E14" t="n">
        <v>29.8</v>
      </c>
      <c r="F14" t="n">
        <v>42.8</v>
      </c>
      <c r="G14">
        <f>IFERROR(A14-INDEX(P1_PIG_BATCHES!$D:$D,MATCH(B14,P1_PIG_BATCHES!$A:$A,0)),"")</f>
        <v/>
      </c>
    </row>
    <row r="15">
      <c r="A15" t="inlineStr">
        <is>
          <t>2026-05-11</t>
        </is>
      </c>
      <c r="B15" t="inlineStr">
        <is>
          <t>PIG-B02</t>
        </is>
      </c>
      <c r="C15" t="n">
        <v>10</v>
      </c>
      <c r="D15" t="n">
        <v>46.1</v>
      </c>
      <c r="E15" t="n">
        <v>37.8</v>
      </c>
      <c r="F15" t="n">
        <v>54.4</v>
      </c>
      <c r="G15">
        <f>IFERROR(A15-INDEX(P1_PIG_BATCHES!$D:$D,MATCH(B15,P1_PIG_BATCHES!$A:$A,0)),"")</f>
        <v/>
      </c>
    </row>
    <row r="16">
      <c r="A16" t="inlineStr">
        <is>
          <t>2026-05-25</t>
        </is>
      </c>
      <c r="B16" t="inlineStr">
        <is>
          <t>PIG-B02</t>
        </is>
      </c>
      <c r="C16" t="n">
        <v>10</v>
      </c>
      <c r="D16" t="n">
        <v>58.9</v>
      </c>
      <c r="E16" t="n">
        <v>48.3</v>
      </c>
      <c r="F16" t="n">
        <v>69.5</v>
      </c>
      <c r="G16">
        <f>IFERROR(A16-INDEX(P1_PIG_BATCHES!$D:$D,MATCH(B16,P1_PIG_BATCHES!$A:$A,0)),"")</f>
        <v/>
      </c>
    </row>
    <row r="17">
      <c r="A17" t="inlineStr">
        <is>
          <t>2026-06-08</t>
        </is>
      </c>
      <c r="B17" t="inlineStr">
        <is>
          <t>PIG-B02</t>
        </is>
      </c>
      <c r="C17" t="n">
        <v>10</v>
      </c>
      <c r="D17" t="n">
        <v>73.40000000000001</v>
      </c>
      <c r="E17" t="n">
        <v>60.2</v>
      </c>
      <c r="F17" t="n">
        <v>86.59999999999999</v>
      </c>
      <c r="G17">
        <f>IFERROR(A17-INDEX(P1_PIG_BATCHES!$D:$D,MATCH(B17,P1_PIG_BATCHES!$A:$A,0)),"")</f>
        <v/>
      </c>
    </row>
    <row r="18">
      <c r="A18" t="inlineStr">
        <is>
          <t>2026-06-22</t>
        </is>
      </c>
      <c r="B18" t="inlineStr">
        <is>
          <t>PIG-B02</t>
        </is>
      </c>
      <c r="C18" t="n">
        <v>10</v>
      </c>
      <c r="D18" t="n">
        <v>76.8</v>
      </c>
      <c r="E18" t="n">
        <v>63</v>
      </c>
      <c r="F18" t="n">
        <v>90.59999999999999</v>
      </c>
      <c r="G18">
        <f>IFERROR(A18-INDEX(P1_PIG_BATCHES!$D:$D,MATCH(B18,P1_PIG_BATCHES!$A:$A,0)),"")</f>
        <v/>
      </c>
    </row>
    <row r="19">
      <c r="A19" t="inlineStr">
        <is>
          <t>2026-07-06</t>
        </is>
      </c>
      <c r="B19" t="inlineStr">
        <is>
          <t>PIG-B02</t>
        </is>
      </c>
      <c r="C19" t="n">
        <v>10</v>
      </c>
      <c r="D19" t="n">
        <v>81.90000000000001</v>
      </c>
      <c r="E19" t="n">
        <v>67.2</v>
      </c>
      <c r="F19" t="n">
        <v>96.59999999999999</v>
      </c>
      <c r="G19">
        <f>IFERROR(A19-INDEX(P1_PIG_BATCHES!$D:$D,MATCH(B19,P1_PIG_BATCHES!$A:$A,0)),"")</f>
        <v/>
      </c>
    </row>
    <row r="20">
      <c r="A20" t="inlineStr">
        <is>
          <t>2026-07-20</t>
        </is>
      </c>
      <c r="B20" t="inlineStr">
        <is>
          <t>PIG-B02</t>
        </is>
      </c>
      <c r="C20" t="n">
        <v>10</v>
      </c>
      <c r="D20" t="n">
        <v>97.8</v>
      </c>
      <c r="E20" t="n">
        <v>80.2</v>
      </c>
      <c r="F20" t="n">
        <v>115.4</v>
      </c>
      <c r="G20">
        <f>IFERROR(A20-INDEX(P1_PIG_BATCHES!$D:$D,MATCH(B20,P1_PIG_BATCHES!$A:$A,0)),"")</f>
        <v/>
      </c>
    </row>
    <row r="21">
      <c r="A21" t="inlineStr">
        <is>
          <t>2026-08-03</t>
        </is>
      </c>
      <c r="B21" t="inlineStr">
        <is>
          <t>PIG-B02</t>
        </is>
      </c>
      <c r="C21" t="n">
        <v>10</v>
      </c>
      <c r="D21" t="n">
        <v>109.6</v>
      </c>
      <c r="E21" t="n">
        <v>89.90000000000001</v>
      </c>
      <c r="F21" t="n">
        <v>129.3</v>
      </c>
      <c r="G21">
        <f>IFERROR(A21-INDEX(P1_PIG_BATCHES!$D:$D,MATCH(B21,P1_PIG_BATCHES!$A:$A,0)),"")</f>
        <v/>
      </c>
    </row>
    <row r="22">
      <c r="A22" t="inlineStr">
        <is>
          <t>2026-08-17</t>
        </is>
      </c>
      <c r="B22" t="inlineStr">
        <is>
          <t>PIG-B02</t>
        </is>
      </c>
      <c r="C22" t="n">
        <v>10</v>
      </c>
      <c r="D22" t="n">
        <v>117.7</v>
      </c>
      <c r="E22" t="n">
        <v>96.5</v>
      </c>
      <c r="F22" t="n">
        <v>138.9</v>
      </c>
      <c r="G22">
        <f>IFERROR(A22-INDEX(P1_PIG_BATCHES!$D:$D,MATCH(B22,P1_PIG_BATCHES!$A:$A,0)),"")</f>
        <v/>
      </c>
    </row>
    <row r="23">
      <c r="A23" t="inlineStr">
        <is>
          <t>2025-11-24</t>
        </is>
      </c>
      <c r="B23" t="inlineStr">
        <is>
          <t>PIG-B03</t>
        </is>
      </c>
      <c r="C23" t="n">
        <v>10</v>
      </c>
      <c r="D23" t="n">
        <v>17.2</v>
      </c>
      <c r="E23" t="n">
        <v>14.1</v>
      </c>
      <c r="F23" t="n">
        <v>20.3</v>
      </c>
      <c r="G23">
        <f>IFERROR(A23-INDEX(P1_PIG_BATCHES!$D:$D,MATCH(B23,P1_PIG_BATCHES!$A:$A,0)),"")</f>
        <v/>
      </c>
    </row>
    <row r="24">
      <c r="A24" t="inlineStr">
        <is>
          <t>2025-12-08</t>
        </is>
      </c>
      <c r="B24" t="inlineStr">
        <is>
          <t>PIG-B03</t>
        </is>
      </c>
      <c r="C24" t="n">
        <v>10</v>
      </c>
      <c r="D24" t="n">
        <v>24.5</v>
      </c>
      <c r="E24" t="n">
        <v>20.1</v>
      </c>
      <c r="F24" t="n">
        <v>28.9</v>
      </c>
      <c r="G24">
        <f>IFERROR(A24-INDEX(P1_PIG_BATCHES!$D:$D,MATCH(B24,P1_PIG_BATCHES!$A:$A,0)),"")</f>
        <v/>
      </c>
    </row>
    <row r="25">
      <c r="A25" t="inlineStr">
        <is>
          <t>2025-12-22</t>
        </is>
      </c>
      <c r="B25" t="inlineStr">
        <is>
          <t>PIG-B03</t>
        </is>
      </c>
      <c r="C25" t="n">
        <v>10</v>
      </c>
      <c r="D25" t="n">
        <v>32.6</v>
      </c>
      <c r="E25" t="n">
        <v>26.7</v>
      </c>
      <c r="F25" t="n">
        <v>38.5</v>
      </c>
      <c r="G25">
        <f>IFERROR(A25-INDEX(P1_PIG_BATCHES!$D:$D,MATCH(B25,P1_PIG_BATCHES!$A:$A,0)),"")</f>
        <v/>
      </c>
    </row>
    <row r="26">
      <c r="A26" t="inlineStr">
        <is>
          <t>2026-01-05</t>
        </is>
      </c>
      <c r="B26" t="inlineStr">
        <is>
          <t>PIG-B03</t>
        </is>
      </c>
      <c r="C26" t="n">
        <v>10</v>
      </c>
      <c r="D26" t="n">
        <v>43</v>
      </c>
      <c r="E26" t="n">
        <v>35.3</v>
      </c>
      <c r="F26" t="n">
        <v>50.7</v>
      </c>
      <c r="G26">
        <f>IFERROR(A26-INDEX(P1_PIG_BATCHES!$D:$D,MATCH(B26,P1_PIG_BATCHES!$A:$A,0)),"")</f>
        <v/>
      </c>
    </row>
    <row r="27">
      <c r="A27" t="inlineStr">
        <is>
          <t>2026-01-19</t>
        </is>
      </c>
      <c r="B27" t="inlineStr">
        <is>
          <t>PIG-B03</t>
        </is>
      </c>
      <c r="C27" t="n">
        <v>10</v>
      </c>
      <c r="D27" t="n">
        <v>53</v>
      </c>
      <c r="E27" t="n">
        <v>43.5</v>
      </c>
      <c r="F27" t="n">
        <v>62.5</v>
      </c>
      <c r="G27">
        <f>IFERROR(A27-INDEX(P1_PIG_BATCHES!$D:$D,MATCH(B27,P1_PIG_BATCHES!$A:$A,0)),"")</f>
        <v/>
      </c>
    </row>
    <row r="28">
      <c r="A28" t="inlineStr">
        <is>
          <t>2026-02-02</t>
        </is>
      </c>
      <c r="B28" t="inlineStr">
        <is>
          <t>PIG-B03</t>
        </is>
      </c>
      <c r="C28" t="n">
        <v>10</v>
      </c>
      <c r="D28" t="n">
        <v>57.4</v>
      </c>
      <c r="E28" t="n">
        <v>47.1</v>
      </c>
      <c r="F28" t="n">
        <v>67.7</v>
      </c>
      <c r="G28">
        <f>IFERROR(A28-INDEX(P1_PIG_BATCHES!$D:$D,MATCH(B28,P1_PIG_BATCHES!$A:$A,0)),"")</f>
        <v/>
      </c>
    </row>
    <row r="29">
      <c r="A29" t="inlineStr">
        <is>
          <t>2026-02-16</t>
        </is>
      </c>
      <c r="B29" t="inlineStr">
        <is>
          <t>PIG-B03</t>
        </is>
      </c>
      <c r="C29" t="n">
        <v>10</v>
      </c>
      <c r="D29" t="n">
        <v>66.90000000000001</v>
      </c>
      <c r="E29" t="n">
        <v>54.9</v>
      </c>
      <c r="F29" t="n">
        <v>78.90000000000001</v>
      </c>
      <c r="G29">
        <f>IFERROR(A29-INDEX(P1_PIG_BATCHES!$D:$D,MATCH(B29,P1_PIG_BATCHES!$A:$A,0)),"")</f>
        <v/>
      </c>
    </row>
    <row r="30">
      <c r="A30" t="inlineStr">
        <is>
          <t>2026-03-02</t>
        </is>
      </c>
      <c r="B30" t="inlineStr">
        <is>
          <t>PIG-B03</t>
        </is>
      </c>
      <c r="C30" t="n">
        <v>10</v>
      </c>
      <c r="D30" t="n">
        <v>75.09999999999999</v>
      </c>
      <c r="E30" t="n">
        <v>61.6</v>
      </c>
      <c r="F30" t="n">
        <v>88.59999999999999</v>
      </c>
      <c r="G30">
        <f>IFERROR(A30-INDEX(P1_PIG_BATCHES!$D:$D,MATCH(B30,P1_PIG_BATCHES!$A:$A,0)),"")</f>
        <v/>
      </c>
    </row>
    <row r="31">
      <c r="A31" t="inlineStr">
        <is>
          <t>2026-03-16</t>
        </is>
      </c>
      <c r="B31" t="inlineStr">
        <is>
          <t>PIG-B03</t>
        </is>
      </c>
      <c r="C31" t="n">
        <v>10</v>
      </c>
      <c r="D31" t="n">
        <v>91.40000000000001</v>
      </c>
      <c r="E31" t="n">
        <v>74.90000000000001</v>
      </c>
      <c r="F31" t="n">
        <v>107.9</v>
      </c>
      <c r="G31">
        <f>IFERROR(A31-INDEX(P1_PIG_BATCHES!$D:$D,MATCH(B31,P1_PIG_BATCHES!$A:$A,0)),"")</f>
        <v/>
      </c>
    </row>
    <row r="32">
      <c r="A32" t="inlineStr">
        <is>
          <t>2026-05-26</t>
        </is>
      </c>
      <c r="B32" t="inlineStr">
        <is>
          <t>PIG-B04</t>
        </is>
      </c>
      <c r="C32" t="n">
        <v>10</v>
      </c>
      <c r="D32" t="n">
        <v>15.5</v>
      </c>
      <c r="E32" t="n">
        <v>12.7</v>
      </c>
      <c r="F32" t="n">
        <v>18.3</v>
      </c>
      <c r="G32">
        <f>IFERROR(A32-INDEX(P1_PIG_BATCHES!$D:$D,MATCH(B32,P1_PIG_BATCHES!$A:$A,0)),"")</f>
        <v/>
      </c>
    </row>
    <row r="33">
      <c r="A33" t="inlineStr">
        <is>
          <t>2026-06-09</t>
        </is>
      </c>
      <c r="B33" t="inlineStr">
        <is>
          <t>PIG-B04</t>
        </is>
      </c>
      <c r="C33" t="n">
        <v>10</v>
      </c>
      <c r="D33" t="n">
        <v>24.5</v>
      </c>
      <c r="E33" t="n">
        <v>20.1</v>
      </c>
      <c r="F33" t="n">
        <v>28.9</v>
      </c>
      <c r="G33">
        <f>IFERROR(A33-INDEX(P1_PIG_BATCHES!$D:$D,MATCH(B33,P1_PIG_BATCHES!$A:$A,0)),"")</f>
        <v/>
      </c>
    </row>
    <row r="34">
      <c r="A34" t="inlineStr">
        <is>
          <t>2026-06-23</t>
        </is>
      </c>
      <c r="B34" t="inlineStr">
        <is>
          <t>PIG-B04</t>
        </is>
      </c>
      <c r="C34" t="n">
        <v>10</v>
      </c>
      <c r="D34" t="n">
        <v>31.6</v>
      </c>
      <c r="E34" t="n">
        <v>25.9</v>
      </c>
      <c r="F34" t="n">
        <v>37.3</v>
      </c>
      <c r="G34">
        <f>IFERROR(A34-INDEX(P1_PIG_BATCHES!$D:$D,MATCH(B34,P1_PIG_BATCHES!$A:$A,0)),"")</f>
        <v/>
      </c>
    </row>
    <row r="35">
      <c r="A35" t="inlineStr">
        <is>
          <t>2026-07-07</t>
        </is>
      </c>
      <c r="B35" t="inlineStr">
        <is>
          <t>PIG-B04</t>
        </is>
      </c>
      <c r="C35" t="n">
        <v>10</v>
      </c>
      <c r="D35" t="n">
        <v>40.3</v>
      </c>
      <c r="E35" t="n">
        <v>33</v>
      </c>
      <c r="F35" t="n">
        <v>47.6</v>
      </c>
      <c r="G35">
        <f>IFERROR(A35-INDEX(P1_PIG_BATCHES!$D:$D,MATCH(B35,P1_PIG_BATCHES!$A:$A,0)),"")</f>
        <v/>
      </c>
    </row>
    <row r="36">
      <c r="A36" t="inlineStr">
        <is>
          <t>2026-07-21</t>
        </is>
      </c>
      <c r="B36" t="inlineStr">
        <is>
          <t>PIG-B04</t>
        </is>
      </c>
      <c r="C36" t="n">
        <v>10</v>
      </c>
      <c r="D36" t="n">
        <v>47.8</v>
      </c>
      <c r="E36" t="n">
        <v>39.2</v>
      </c>
      <c r="F36" t="n">
        <v>56.4</v>
      </c>
      <c r="G36">
        <f>IFERROR(A36-INDEX(P1_PIG_BATCHES!$D:$D,MATCH(B36,P1_PIG_BATCHES!$A:$A,0)),"")</f>
        <v/>
      </c>
    </row>
    <row r="37">
      <c r="A37" t="inlineStr">
        <is>
          <t>2026-08-04</t>
        </is>
      </c>
      <c r="B37" t="inlineStr">
        <is>
          <t>PIG-B04</t>
        </is>
      </c>
      <c r="C37" t="n">
        <v>10</v>
      </c>
      <c r="D37" t="n">
        <v>57.8</v>
      </c>
      <c r="E37" t="n">
        <v>47.4</v>
      </c>
      <c r="F37" t="n">
        <v>68.2</v>
      </c>
      <c r="G37">
        <f>IFERROR(A37-INDEX(P1_PIG_BATCHES!$D:$D,MATCH(B37,P1_PIG_BATCHES!$A:$A,0)),"")</f>
        <v/>
      </c>
    </row>
    <row r="38">
      <c r="A38" t="inlineStr">
        <is>
          <t>2026-08-18</t>
        </is>
      </c>
      <c r="B38" t="inlineStr">
        <is>
          <t>PIG-B04</t>
        </is>
      </c>
      <c r="C38" t="n">
        <v>10</v>
      </c>
      <c r="D38" t="n">
        <v>70.40000000000001</v>
      </c>
      <c r="E38" t="n">
        <v>57.7</v>
      </c>
      <c r="F38" t="n">
        <v>83.09999999999999</v>
      </c>
      <c r="G38">
        <f>IFERROR(A38-INDEX(P1_PIG_BATCHES!$D:$D,MATCH(B38,P1_PIG_BATCHES!$A:$A,0)),"")</f>
        <v/>
      </c>
    </row>
    <row r="39">
      <c r="A39" t="inlineStr">
        <is>
          <t>2026-09-01</t>
        </is>
      </c>
      <c r="B39" t="inlineStr">
        <is>
          <t>PIG-B04</t>
        </is>
      </c>
      <c r="C39" t="n">
        <v>10</v>
      </c>
      <c r="D39" t="n">
        <v>74.90000000000001</v>
      </c>
      <c r="E39" t="n">
        <v>61.4</v>
      </c>
      <c r="F39" t="n">
        <v>88.40000000000001</v>
      </c>
      <c r="G39">
        <f>IFERROR(A39-INDEX(P1_PIG_BATCHES!$D:$D,MATCH(B39,P1_PIG_BATCHES!$A:$A,0)),"")</f>
        <v/>
      </c>
    </row>
    <row r="40">
      <c r="A40" t="inlineStr">
        <is>
          <t>2026-09-15</t>
        </is>
      </c>
      <c r="B40" t="inlineStr">
        <is>
          <t>PIG-B04</t>
        </is>
      </c>
      <c r="C40" t="n">
        <v>10</v>
      </c>
      <c r="D40" t="n">
        <v>87.8</v>
      </c>
      <c r="E40" t="n">
        <v>72</v>
      </c>
      <c r="F40" t="n">
        <v>103.6</v>
      </c>
      <c r="G40">
        <f>IFERROR(A40-INDEX(P1_PIG_BATCHES!$D:$D,MATCH(B40,P1_PIG_BATCHES!$A:$A,0)),"")</f>
        <v/>
      </c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FFC0504D"/>
    <outlinePr summaryBelow="1" summaryRight="1"/>
    <pageSetUpPr/>
  </sheetPr>
  <dimension ref="A1:F6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4" customWidth="1" min="1" max="2"/>
    <col width="17" customWidth="1" min="3" max="3"/>
    <col width="14" customWidth="1" min="4" max="4"/>
    <col width="22" customWidth="1" min="5" max="5"/>
    <col width="14" customWidth="1" min="6" max="6"/>
  </cols>
  <sheetData>
    <row r="1">
      <c r="A1" s="1" t="inlineStr">
        <is>
          <t>PURPOSE: Breeding herd inventory.   |   CADENCE: On arrival / status change   |   ENTERED BY: Supervisor</t>
        </is>
      </c>
    </row>
    <row r="2">
      <c r="A2" s="9" t="inlineStr">
        <is>
          <t>sow_tag</t>
        </is>
      </c>
      <c r="B2" s="9" t="inlineStr">
        <is>
          <t>breed</t>
        </is>
      </c>
      <c r="C2" s="9" t="inlineStr">
        <is>
          <t>date_of_birth</t>
        </is>
      </c>
      <c r="D2" s="9" t="inlineStr">
        <is>
          <t>parity</t>
        </is>
      </c>
      <c r="E2" s="9" t="inlineStr">
        <is>
          <t>body_condition_1_5</t>
        </is>
      </c>
      <c r="F2" s="9" t="inlineStr">
        <is>
          <t>status</t>
        </is>
      </c>
    </row>
    <row r="3">
      <c r="A3" s="7" t="inlineStr">
        <is>
          <t>SOW-12</t>
        </is>
      </c>
      <c r="B3" s="7" t="inlineStr">
        <is>
          <t>Landrace</t>
        </is>
      </c>
      <c r="C3" s="8" t="inlineStr">
        <is>
          <t>2024-03-10</t>
        </is>
      </c>
      <c r="D3" s="7" t="n">
        <v>3</v>
      </c>
      <c r="E3" s="7" t="n">
        <v>3</v>
      </c>
      <c r="F3" s="7" t="inlineStr">
        <is>
          <t>Lactating</t>
        </is>
      </c>
    </row>
    <row r="4">
      <c r="A4" t="inlineStr">
        <is>
          <t>SOW-01</t>
        </is>
      </c>
      <c r="B4" t="inlineStr">
        <is>
          <t>Large White</t>
        </is>
      </c>
      <c r="C4" t="inlineStr">
        <is>
          <t>2023-05-10</t>
        </is>
      </c>
      <c r="D4" t="n">
        <v>2</v>
      </c>
      <c r="E4" t="n">
        <v>3</v>
      </c>
      <c r="F4" t="inlineStr">
        <is>
          <t>Open</t>
        </is>
      </c>
    </row>
    <row r="5">
      <c r="A5" t="inlineStr">
        <is>
          <t>SOW-02</t>
        </is>
      </c>
      <c r="B5" t="inlineStr">
        <is>
          <t>Landrace</t>
        </is>
      </c>
      <c r="C5" t="inlineStr">
        <is>
          <t>2022-11-20</t>
        </is>
      </c>
      <c r="D5" t="n">
        <v>4</v>
      </c>
      <c r="E5" t="n">
        <v>3</v>
      </c>
      <c r="F5" t="inlineStr">
        <is>
          <t>Pregnant</t>
        </is>
      </c>
    </row>
    <row r="6">
      <c r="A6" t="inlineStr">
        <is>
          <t>SOW-03</t>
        </is>
      </c>
      <c r="B6" t="inlineStr">
        <is>
          <t>Duroc cross</t>
        </is>
      </c>
      <c r="C6" t="inlineStr">
        <is>
          <t>2023-08-15</t>
        </is>
      </c>
      <c r="D6" t="n">
        <v>1</v>
      </c>
      <c r="E6" t="n">
        <v>4</v>
      </c>
      <c r="F6" t="inlineStr">
        <is>
          <t>Lactating</t>
        </is>
      </c>
    </row>
  </sheetData>
  <mergeCells count="1">
    <mergeCell ref="A1:F1"/>
  </mergeCells>
  <dataValidations count="2">
    <dataValidation sqref="B3:B500" showDropDown="0" showInputMessage="0" showErrorMessage="1" allowBlank="1" errorTitle="Invalid entry" error="Please choose a value from the list." type="list">
      <formula1>LIST_BREED_PIG</formula1>
      <formula2>0</formula2>
    </dataValidation>
    <dataValidation sqref="F3:F500" showDropDown="0" showInputMessage="0" showErrorMessage="1" allowBlank="1" errorTitle="Invalid entry" error="Please choose a value from the list." type="list">
      <formula1>LIST_SOW_STATUS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C0504D"/>
    <outlinePr summaryBelow="1" summaryRight="1"/>
    <pageSetUpPr/>
  </sheetPr>
  <dimension ref="A1:O6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4" customWidth="1" min="1" max="2"/>
    <col width="16" customWidth="1" min="3" max="4"/>
    <col width="23" customWidth="1" min="5" max="5"/>
    <col width="24" customWidth="1" min="6" max="6"/>
    <col width="15" customWidth="1" min="7" max="7"/>
    <col width="14" customWidth="1" min="8" max="10"/>
    <col width="23" customWidth="1" min="11" max="11"/>
    <col width="14" customWidth="1" min="12" max="12"/>
    <col width="16" customWidth="1" min="13" max="13"/>
    <col width="22" customWidth="1" min="14" max="14"/>
    <col width="21" customWidth="1" min="15" max="15"/>
  </cols>
  <sheetData>
    <row r="1">
      <c r="A1" s="1" t="inlineStr">
        <is>
          <t>PURPOSE: Litters/sow/year, born-alive, pre-wean mortality, farrowing rate — the real profit drivers of a piggery.   |   CADENCE: Per service / per farrowing / per weaning (3 touches per row)   |   ENTERED BY: Supervisor</t>
        </is>
      </c>
    </row>
    <row r="2">
      <c r="A2" s="9" t="inlineStr">
        <is>
          <t>sow_tag</t>
        </is>
      </c>
      <c r="B2" s="9" t="inlineStr">
        <is>
          <t>boar_tag</t>
        </is>
      </c>
      <c r="C2" s="9" t="inlineStr">
        <is>
          <t>service_date</t>
        </is>
      </c>
      <c r="D2" s="9" t="inlineStr">
        <is>
          <t>service_type</t>
        </is>
      </c>
      <c r="E2" s="9" t="inlineStr">
        <is>
          <t>pregnancy_confirmed</t>
        </is>
      </c>
      <c r="F2" s="9" t="inlineStr">
        <is>
          <t>expected_farrow_date</t>
        </is>
      </c>
      <c r="G2" s="9" t="inlineStr">
        <is>
          <t>farrow_date</t>
        </is>
      </c>
      <c r="H2" s="9" t="inlineStr">
        <is>
          <t>born_alive</t>
        </is>
      </c>
      <c r="I2" s="9" t="inlineStr">
        <is>
          <t>stillborn</t>
        </is>
      </c>
      <c r="J2" s="9" t="inlineStr">
        <is>
          <t>mummified</t>
        </is>
      </c>
      <c r="K2" s="9" t="inlineStr">
        <is>
          <t>avg_birth_weight_kg</t>
        </is>
      </c>
      <c r="L2" s="9" t="inlineStr">
        <is>
          <t>wean_date</t>
        </is>
      </c>
      <c r="M2" s="9" t="inlineStr">
        <is>
          <t>weaned_count</t>
        </is>
      </c>
      <c r="N2" s="9" t="inlineStr">
        <is>
          <t>avg_wean_weight_kg</t>
        </is>
      </c>
      <c r="O2" s="9" t="inlineStr">
        <is>
          <t>litter_batch_code</t>
        </is>
      </c>
    </row>
    <row r="3">
      <c r="A3" s="7" t="inlineStr">
        <is>
          <t>SOW-12</t>
        </is>
      </c>
      <c r="B3" s="7" t="inlineStr">
        <is>
          <t>BOAR-02</t>
        </is>
      </c>
      <c r="C3" s="8" t="inlineStr">
        <is>
          <t>2026-05-10</t>
        </is>
      </c>
      <c r="D3" s="7" t="inlineStr">
        <is>
          <t>Natural</t>
        </is>
      </c>
      <c r="E3" s="7" t="inlineStr">
        <is>
          <t>Yes</t>
        </is>
      </c>
      <c r="F3" s="8">
        <f>C3+114</f>
        <v/>
      </c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t="inlineStr">
        <is>
          <t>SOW-01</t>
        </is>
      </c>
      <c r="B4" t="inlineStr">
        <is>
          <t>BOAR-01</t>
        </is>
      </c>
      <c r="C4" t="inlineStr">
        <is>
          <t>2025-06-12</t>
        </is>
      </c>
      <c r="D4" t="inlineStr">
        <is>
          <t>Natural</t>
        </is>
      </c>
      <c r="E4" t="inlineStr">
        <is>
          <t>Yes</t>
        </is>
      </c>
      <c r="F4">
        <f>C4+114</f>
        <v/>
      </c>
      <c r="G4" t="inlineStr">
        <is>
          <t>2025-10-05</t>
        </is>
      </c>
      <c r="H4" t="n">
        <v>11</v>
      </c>
      <c r="I4" t="n">
        <v>1</v>
      </c>
      <c r="J4" t="n">
        <v>0</v>
      </c>
      <c r="K4" t="n">
        <v>1.3</v>
      </c>
      <c r="L4" t="inlineStr">
        <is>
          <t>2025-11-02</t>
        </is>
      </c>
      <c r="M4" t="n">
        <v>10</v>
      </c>
      <c r="N4" t="n">
        <v>6.8</v>
      </c>
      <c r="O4" t="inlineStr">
        <is>
          <t>PIG-B01</t>
        </is>
      </c>
    </row>
    <row r="5">
      <c r="A5" t="inlineStr">
        <is>
          <t>SOW-03</t>
        </is>
      </c>
      <c r="B5" t="inlineStr">
        <is>
          <t>BOAR-02</t>
        </is>
      </c>
      <c r="C5" t="inlineStr">
        <is>
          <t>2025-12-20</t>
        </is>
      </c>
      <c r="D5" t="inlineStr">
        <is>
          <t>AI</t>
        </is>
      </c>
      <c r="E5" t="inlineStr">
        <is>
          <t>Yes</t>
        </is>
      </c>
      <c r="F5">
        <f>C5+114</f>
        <v/>
      </c>
      <c r="G5" t="inlineStr">
        <is>
          <t>2026-04-14</t>
        </is>
      </c>
      <c r="H5" t="n">
        <v>13</v>
      </c>
      <c r="I5" t="n">
        <v>0</v>
      </c>
      <c r="J5" t="n">
        <v>1</v>
      </c>
      <c r="K5" t="n">
        <v>1.4</v>
      </c>
      <c r="L5" t="inlineStr">
        <is>
          <t>2026-05-12</t>
        </is>
      </c>
      <c r="M5" t="n">
        <v>12</v>
      </c>
      <c r="N5" t="n">
        <v>7.2</v>
      </c>
      <c r="O5" t="inlineStr">
        <is>
          <t>PIG-B04</t>
        </is>
      </c>
    </row>
    <row r="6">
      <c r="A6" t="inlineStr">
        <is>
          <t>SOW-02</t>
        </is>
      </c>
      <c r="B6" t="inlineStr">
        <is>
          <t>BOAR-01</t>
        </is>
      </c>
      <c r="C6" t="inlineStr">
        <is>
          <t>2026-07-20</t>
        </is>
      </c>
      <c r="D6" t="inlineStr">
        <is>
          <t>Natural</t>
        </is>
      </c>
      <c r="E6" t="inlineStr">
        <is>
          <t>Yes</t>
        </is>
      </c>
      <c r="F6">
        <f>C6+114</f>
        <v/>
      </c>
    </row>
  </sheetData>
  <mergeCells count="1">
    <mergeCell ref="A1:O1"/>
  </mergeCells>
  <dataValidations count="2">
    <dataValidation sqref="D3:D500" showDropDown="0" showInputMessage="0" showErrorMessage="1" allowBlank="1" errorTitle="Invalid entry" error="Please choose a value from the list." type="list">
      <formula1>LIST_SERVICE_TYPE</formula1>
      <formula2>0</formula2>
    </dataValidation>
    <dataValidation sqref="E3:E500" showDropDown="0" showInputMessage="0" showErrorMessage="0" allowBlank="1" type="list">
      <formula1>LIST_YESNO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FFC09000"/>
    <outlinePr summaryBelow="1" summaryRight="1"/>
    <pageSetUpPr/>
  </sheetPr>
  <dimension ref="A1:J7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4" customWidth="1" min="1" max="4"/>
    <col width="18" customWidth="1" min="5" max="5"/>
    <col width="17" customWidth="1" min="6" max="6"/>
    <col width="19" customWidth="1" min="7" max="7"/>
    <col width="14" customWidth="1" min="8" max="8"/>
    <col width="19" customWidth="1" min="9" max="9"/>
    <col width="14" customWidth="1" min="10" max="10"/>
  </cols>
  <sheetData>
    <row r="1">
      <c r="A1" s="1" t="inlineStr">
        <is>
          <t>PURPOSE: Flock register for broilers and layers.   |   CADENCE: On placement   |   ENTERED BY: Supervisor</t>
        </is>
      </c>
    </row>
    <row r="2">
      <c r="A2" s="10" t="inlineStr">
        <is>
          <t>batch_code</t>
        </is>
      </c>
      <c r="B2" s="10" t="inlineStr">
        <is>
          <t>bird_type</t>
        </is>
      </c>
      <c r="C2" s="10" t="inlineStr">
        <is>
          <t>breed</t>
        </is>
      </c>
      <c r="D2" s="10" t="inlineStr">
        <is>
          <t>house</t>
        </is>
      </c>
      <c r="E2" s="10" t="inlineStr">
        <is>
          <t>placement_date</t>
        </is>
      </c>
      <c r="F2" s="10" t="inlineStr">
        <is>
          <t>chicks_placed</t>
        </is>
      </c>
      <c r="G2" s="10" t="inlineStr">
        <is>
          <t>chick_unit_cost</t>
        </is>
      </c>
      <c r="H2" s="10" t="inlineStr">
        <is>
          <t>hatchery</t>
        </is>
      </c>
      <c r="I2" s="10" t="inlineStr">
        <is>
          <t>target_off_date</t>
        </is>
      </c>
      <c r="J2" s="10" t="inlineStr">
        <is>
          <t>status</t>
        </is>
      </c>
    </row>
    <row r="3">
      <c r="A3" s="7" t="inlineStr">
        <is>
          <t>BRO-24</t>
        </is>
      </c>
      <c r="B3" s="7" t="inlineStr">
        <is>
          <t>Broiler</t>
        </is>
      </c>
      <c r="C3" s="7" t="inlineStr">
        <is>
          <t>Ross 308</t>
        </is>
      </c>
      <c r="D3" s="7" t="inlineStr">
        <is>
          <t>House 2</t>
        </is>
      </c>
      <c r="E3" s="8" t="inlineStr">
        <is>
          <t>2026-08-10</t>
        </is>
      </c>
      <c r="F3" s="7" t="n">
        <v>500</v>
      </c>
      <c r="G3" s="7" t="n">
        <v>0.55</v>
      </c>
      <c r="H3" s="7" t="inlineStr">
        <is>
          <t>Irvine's Zimbabwe</t>
        </is>
      </c>
      <c r="I3" s="8" t="inlineStr">
        <is>
          <t>2026-09-21</t>
        </is>
      </c>
      <c r="J3" s="7" t="inlineStr">
        <is>
          <t>Growing</t>
        </is>
      </c>
    </row>
    <row r="4">
      <c r="A4" t="inlineStr">
        <is>
          <t>BRO-P01</t>
        </is>
      </c>
      <c r="B4" t="inlineStr">
        <is>
          <t>Broiler</t>
        </is>
      </c>
      <c r="C4" t="inlineStr">
        <is>
          <t>Ross 308</t>
        </is>
      </c>
      <c r="D4" t="inlineStr">
        <is>
          <t>House 1</t>
        </is>
      </c>
      <c r="E4" t="inlineStr">
        <is>
          <t>2025-10-10</t>
        </is>
      </c>
      <c r="F4" t="n">
        <v>500</v>
      </c>
      <c r="G4" t="n">
        <v>0.55</v>
      </c>
      <c r="H4" t="inlineStr">
        <is>
          <t>Irvine's Zimbabwe</t>
        </is>
      </c>
      <c r="I4" t="inlineStr">
        <is>
          <t>2025-11-21</t>
        </is>
      </c>
      <c r="J4" t="inlineStr">
        <is>
          <t>Sold</t>
        </is>
      </c>
    </row>
    <row r="5">
      <c r="A5" t="inlineStr">
        <is>
          <t>BRO-P02</t>
        </is>
      </c>
      <c r="B5" t="inlineStr">
        <is>
          <t>Broiler</t>
        </is>
      </c>
      <c r="C5" t="inlineStr">
        <is>
          <t>Ross 308</t>
        </is>
      </c>
      <c r="D5" t="inlineStr">
        <is>
          <t>House 1</t>
        </is>
      </c>
      <c r="E5" t="inlineStr">
        <is>
          <t>2025-12-20</t>
        </is>
      </c>
      <c r="F5" t="n">
        <v>520</v>
      </c>
      <c r="G5" t="n">
        <v>0.58</v>
      </c>
      <c r="H5" t="inlineStr">
        <is>
          <t>Irvine's Zimbabwe</t>
        </is>
      </c>
      <c r="I5" t="inlineStr">
        <is>
          <t>2026-01-31</t>
        </is>
      </c>
      <c r="J5" t="inlineStr">
        <is>
          <t>Sold</t>
        </is>
      </c>
    </row>
    <row r="6">
      <c r="A6" t="inlineStr">
        <is>
          <t>BRO-P03</t>
        </is>
      </c>
      <c r="B6" t="inlineStr">
        <is>
          <t>Broiler</t>
        </is>
      </c>
      <c r="C6" t="inlineStr">
        <is>
          <t>Ross 308</t>
        </is>
      </c>
      <c r="D6" t="inlineStr">
        <is>
          <t>House 1</t>
        </is>
      </c>
      <c r="E6" t="inlineStr">
        <is>
          <t>2026-03-05</t>
        </is>
      </c>
      <c r="F6" t="n">
        <v>500</v>
      </c>
      <c r="G6" t="n">
        <v>0.55</v>
      </c>
      <c r="H6" t="inlineStr">
        <is>
          <t>Irvine's Zimbabwe</t>
        </is>
      </c>
      <c r="I6" t="inlineStr">
        <is>
          <t>2026-04-16</t>
        </is>
      </c>
      <c r="J6" t="inlineStr">
        <is>
          <t>Sold</t>
        </is>
      </c>
    </row>
    <row r="7">
      <c r="A7" t="inlineStr">
        <is>
          <t>BRO-P04</t>
        </is>
      </c>
      <c r="B7" t="inlineStr">
        <is>
          <t>Broiler</t>
        </is>
      </c>
      <c r="C7" t="inlineStr">
        <is>
          <t>Ross 308</t>
        </is>
      </c>
      <c r="D7" t="inlineStr">
        <is>
          <t>House 1</t>
        </is>
      </c>
      <c r="E7" t="inlineStr">
        <is>
          <t>2026-08-04</t>
        </is>
      </c>
      <c r="F7" t="n">
        <v>510</v>
      </c>
      <c r="G7" t="n">
        <v>0.6</v>
      </c>
      <c r="H7" t="inlineStr">
        <is>
          <t>National Foods Hatchery</t>
        </is>
      </c>
      <c r="I7" t="inlineStr">
        <is>
          <t>2026-09-15</t>
        </is>
      </c>
      <c r="J7" t="inlineStr">
        <is>
          <t>Growing</t>
        </is>
      </c>
    </row>
  </sheetData>
  <mergeCells count="1">
    <mergeCell ref="A1:J1"/>
  </mergeCells>
  <dataValidations count="3">
    <dataValidation sqref="B3:B500" showDropDown="0" showInputMessage="0" showErrorMessage="1" allowBlank="1" errorTitle="Invalid entry" error="Please choose a value from the list." type="list">
      <formula1>LIST_BIRD_TYPE</formula1>
      <formula2>0</formula2>
    </dataValidation>
    <dataValidation sqref="C3:C500" showDropDown="0" showInputMessage="0" showErrorMessage="1" allowBlank="1" errorTitle="Invalid entry" error="Please choose a value from the list." type="list">
      <formula1>LIST_BREED_POULTRY</formula1>
      <formula2>0</formula2>
    </dataValidation>
    <dataValidation sqref="J3:J500" showDropDown="0" showInputMessage="0" showErrorMessage="1" allowBlank="1" errorTitle="Invalid entry" error="Please choose a value from the list." type="list">
      <formula1>LIST_POULTRY_STATUS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FFC09000"/>
    <outlinePr summaryBelow="1" summaryRight="1"/>
    <pageSetUpPr/>
  </sheetPr>
  <dimension ref="A1:Q175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4" customWidth="1" min="1" max="5"/>
    <col width="17" customWidth="1" min="6" max="6"/>
    <col width="14" customWidth="1" min="7" max="8"/>
    <col width="16" customWidth="1" min="9" max="10"/>
    <col width="20" customWidth="1" min="11" max="11"/>
    <col width="18" customWidth="1" min="12" max="13"/>
    <col width="16" customWidth="1" min="14" max="14"/>
    <col width="14" customWidth="1" min="15" max="16"/>
    <col width="15" customWidth="1" min="17" max="17"/>
  </cols>
  <sheetData>
    <row r="1">
      <c r="A1" s="1" t="inlineStr">
        <is>
          <t>PURPOSE: Mortality, feed, water, eggs, house climate. One sheet serves broilers and layers — egg columns simply stay 0 for broilers.   |   CADENCE: Daily, one row per house   |   ENTERED BY: Poultry attendant</t>
        </is>
      </c>
    </row>
    <row r="2">
      <c r="A2" s="10" t="inlineStr">
        <is>
          <t>date</t>
        </is>
      </c>
      <c r="B2" s="10" t="inlineStr">
        <is>
          <t>batch_code</t>
        </is>
      </c>
      <c r="C2" s="10" t="inlineStr">
        <is>
          <t>age_days</t>
        </is>
      </c>
      <c r="D2" s="10" t="inlineStr">
        <is>
          <t>deaths</t>
        </is>
      </c>
      <c r="E2" s="10" t="inlineStr">
        <is>
          <t>culls</t>
        </is>
      </c>
      <c r="F2" s="10" t="inlineStr">
        <is>
          <t>closing_birds</t>
        </is>
      </c>
      <c r="G2" s="10" t="inlineStr">
        <is>
          <t>feed_type</t>
        </is>
      </c>
      <c r="H2" s="10" t="inlineStr">
        <is>
          <t>feed_kg</t>
        </is>
      </c>
      <c r="I2" s="10" t="inlineStr">
        <is>
          <t>water_litres</t>
        </is>
      </c>
      <c r="J2" s="10" t="inlineStr">
        <is>
          <t>house_temp_c</t>
        </is>
      </c>
      <c r="K2" s="10" t="inlineStr">
        <is>
          <t>litter_condition</t>
        </is>
      </c>
      <c r="L2" s="10" t="inlineStr">
        <is>
          <t>lighting_hours</t>
        </is>
      </c>
      <c r="M2" s="10" t="inlineStr">
        <is>
          <t>eggs_collected</t>
        </is>
      </c>
      <c r="N2" s="10" t="inlineStr">
        <is>
          <t>eggs_cracked</t>
        </is>
      </c>
      <c r="O2" s="10" t="inlineStr">
        <is>
          <t>eggs_dirty</t>
        </is>
      </c>
      <c r="P2" s="10" t="inlineStr">
        <is>
          <t>notes</t>
        </is>
      </c>
      <c r="Q2" s="10" t="inlineStr">
        <is>
          <t>recorded_by</t>
        </is>
      </c>
    </row>
    <row r="3">
      <c r="A3" s="8" t="inlineStr">
        <is>
          <t>2026-09-01</t>
        </is>
      </c>
      <c r="B3" s="7" t="inlineStr">
        <is>
          <t>BRO-24</t>
        </is>
      </c>
      <c r="C3" s="7" t="n">
        <v>22</v>
      </c>
      <c r="D3" s="7" t="n">
        <v>2</v>
      </c>
      <c r="E3" s="7" t="n">
        <v>0</v>
      </c>
      <c r="F3" s="7" t="n">
        <v>498</v>
      </c>
      <c r="G3" s="7" t="inlineStr">
        <is>
          <t>Broiler grower</t>
        </is>
      </c>
      <c r="H3" s="7" t="n">
        <v>58</v>
      </c>
      <c r="I3" s="7" t="n">
        <v>95</v>
      </c>
      <c r="J3" s="7" t="n">
        <v>29</v>
      </c>
      <c r="K3" s="7" t="inlineStr">
        <is>
          <t>Dry</t>
        </is>
      </c>
      <c r="L3" s="7" t="n"/>
      <c r="M3" s="7" t="n">
        <v>0</v>
      </c>
      <c r="N3" s="7" t="n">
        <v>0</v>
      </c>
      <c r="O3" s="7" t="n">
        <v>0</v>
      </c>
      <c r="P3" s="7" t="n"/>
      <c r="Q3" s="7" t="inlineStr">
        <is>
          <t>S02</t>
        </is>
      </c>
    </row>
    <row r="4">
      <c r="A4" t="inlineStr">
        <is>
          <t>2025-10-10</t>
        </is>
      </c>
      <c r="B4" t="inlineStr">
        <is>
          <t>BRO-P01</t>
        </is>
      </c>
      <c r="C4" t="n">
        <v>0</v>
      </c>
      <c r="D4" t="n">
        <v>0</v>
      </c>
      <c r="E4" t="n">
        <v>0</v>
      </c>
      <c r="F4" t="n">
        <v>500</v>
      </c>
      <c r="G4" t="inlineStr">
        <is>
          <t>Chick mash</t>
        </is>
      </c>
      <c r="H4" t="n">
        <v>10.5</v>
      </c>
      <c r="I4" t="n">
        <v>16.8</v>
      </c>
      <c r="J4" t="n">
        <v>33.2</v>
      </c>
      <c r="K4" t="inlineStr">
        <is>
          <t>Dry</t>
        </is>
      </c>
      <c r="L4" t="n">
        <v>23</v>
      </c>
      <c r="M4" t="n">
        <v>0</v>
      </c>
      <c r="N4" t="n">
        <v>0</v>
      </c>
      <c r="O4" t="n">
        <v>0</v>
      </c>
      <c r="Q4" t="inlineStr">
        <is>
          <t>S02</t>
        </is>
      </c>
    </row>
    <row r="5">
      <c r="A5" t="inlineStr">
        <is>
          <t>2025-10-11</t>
        </is>
      </c>
      <c r="B5" t="inlineStr">
        <is>
          <t>BRO-P01</t>
        </is>
      </c>
      <c r="C5" t="n">
        <v>1</v>
      </c>
      <c r="D5" t="n">
        <v>0</v>
      </c>
      <c r="E5" t="n">
        <v>0</v>
      </c>
      <c r="F5" t="n">
        <v>500</v>
      </c>
      <c r="G5" t="inlineStr">
        <is>
          <t>Chick mash</t>
        </is>
      </c>
      <c r="H5" t="n">
        <v>10.6</v>
      </c>
      <c r="I5" t="n">
        <v>18.4</v>
      </c>
      <c r="J5" t="n">
        <v>30.5</v>
      </c>
      <c r="K5" t="inlineStr">
        <is>
          <t>Dry</t>
        </is>
      </c>
      <c r="L5" t="n">
        <v>23</v>
      </c>
      <c r="M5" t="n">
        <v>0</v>
      </c>
      <c r="N5" t="n">
        <v>0</v>
      </c>
      <c r="O5" t="n">
        <v>0</v>
      </c>
      <c r="Q5" t="inlineStr">
        <is>
          <t>S02</t>
        </is>
      </c>
    </row>
    <row r="6">
      <c r="A6" t="inlineStr">
        <is>
          <t>2025-10-12</t>
        </is>
      </c>
      <c r="B6" t="inlineStr">
        <is>
          <t>BRO-P01</t>
        </is>
      </c>
      <c r="C6" t="n">
        <v>2</v>
      </c>
      <c r="D6" t="n">
        <v>0</v>
      </c>
      <c r="E6" t="n">
        <v>0</v>
      </c>
      <c r="F6" t="n">
        <v>500</v>
      </c>
      <c r="G6" t="inlineStr">
        <is>
          <t>Chick mash</t>
        </is>
      </c>
      <c r="H6" t="n">
        <v>13.6</v>
      </c>
      <c r="I6" t="n">
        <v>22.1</v>
      </c>
      <c r="J6" t="n">
        <v>32.7</v>
      </c>
      <c r="K6" t="inlineStr">
        <is>
          <t>Dry</t>
        </is>
      </c>
      <c r="L6" t="n">
        <v>23</v>
      </c>
      <c r="M6" t="n">
        <v>0</v>
      </c>
      <c r="N6" t="n">
        <v>0</v>
      </c>
      <c r="O6" t="n">
        <v>0</v>
      </c>
      <c r="Q6" t="inlineStr">
        <is>
          <t>S02</t>
        </is>
      </c>
    </row>
    <row r="7">
      <c r="A7" t="inlineStr">
        <is>
          <t>2025-10-13</t>
        </is>
      </c>
      <c r="B7" t="inlineStr">
        <is>
          <t>BRO-P01</t>
        </is>
      </c>
      <c r="C7" t="n">
        <v>3</v>
      </c>
      <c r="D7" t="n">
        <v>0</v>
      </c>
      <c r="E7" t="n">
        <v>0</v>
      </c>
      <c r="F7" t="n">
        <v>500</v>
      </c>
      <c r="G7" t="inlineStr">
        <is>
          <t>Chick mash</t>
        </is>
      </c>
      <c r="H7" t="n">
        <v>13.6</v>
      </c>
      <c r="I7" t="n">
        <v>27.2</v>
      </c>
      <c r="J7" t="n">
        <v>29.2</v>
      </c>
      <c r="K7" t="inlineStr">
        <is>
          <t>Dry</t>
        </is>
      </c>
      <c r="L7" t="n">
        <v>23</v>
      </c>
      <c r="M7" t="n">
        <v>0</v>
      </c>
      <c r="N7" t="n">
        <v>0</v>
      </c>
      <c r="O7" t="n">
        <v>0</v>
      </c>
      <c r="Q7" t="inlineStr">
        <is>
          <t>S02</t>
        </is>
      </c>
    </row>
    <row r="8">
      <c r="A8" t="inlineStr">
        <is>
          <t>2025-10-14</t>
        </is>
      </c>
      <c r="B8" t="inlineStr">
        <is>
          <t>BRO-P01</t>
        </is>
      </c>
      <c r="C8" t="n">
        <v>4</v>
      </c>
      <c r="D8" t="n">
        <v>0</v>
      </c>
      <c r="E8" t="n">
        <v>0</v>
      </c>
      <c r="F8" t="n">
        <v>500</v>
      </c>
      <c r="G8" t="inlineStr">
        <is>
          <t>Chick mash</t>
        </is>
      </c>
      <c r="H8" t="n">
        <v>16.3</v>
      </c>
      <c r="I8" t="n">
        <v>31.5</v>
      </c>
      <c r="J8" t="n">
        <v>31.4</v>
      </c>
      <c r="K8" t="inlineStr">
        <is>
          <t>Dry</t>
        </is>
      </c>
      <c r="L8" t="n">
        <v>23</v>
      </c>
      <c r="M8" t="n">
        <v>0</v>
      </c>
      <c r="N8" t="n">
        <v>0</v>
      </c>
      <c r="O8" t="n">
        <v>0</v>
      </c>
      <c r="Q8" t="inlineStr">
        <is>
          <t>S02</t>
        </is>
      </c>
    </row>
    <row r="9">
      <c r="A9" t="inlineStr">
        <is>
          <t>2025-10-15</t>
        </is>
      </c>
      <c r="B9" t="inlineStr">
        <is>
          <t>BRO-P01</t>
        </is>
      </c>
      <c r="C9" t="n">
        <v>5</v>
      </c>
      <c r="D9" t="n">
        <v>0</v>
      </c>
      <c r="E9" t="n">
        <v>0</v>
      </c>
      <c r="F9" t="n">
        <v>500</v>
      </c>
      <c r="G9" t="inlineStr">
        <is>
          <t>Chick mash</t>
        </is>
      </c>
      <c r="H9" t="n">
        <v>15.2</v>
      </c>
      <c r="I9" t="n">
        <v>28.6</v>
      </c>
      <c r="J9" t="n">
        <v>27.7</v>
      </c>
      <c r="K9" t="inlineStr">
        <is>
          <t>Dry</t>
        </is>
      </c>
      <c r="L9" t="n">
        <v>23</v>
      </c>
      <c r="M9" t="n">
        <v>0</v>
      </c>
      <c r="N9" t="n">
        <v>0</v>
      </c>
      <c r="O9" t="n">
        <v>0</v>
      </c>
      <c r="Q9" t="inlineStr">
        <is>
          <t>S02</t>
        </is>
      </c>
    </row>
    <row r="10">
      <c r="A10" t="inlineStr">
        <is>
          <t>2025-10-16</t>
        </is>
      </c>
      <c r="B10" t="inlineStr">
        <is>
          <t>BRO-P01</t>
        </is>
      </c>
      <c r="C10" t="n">
        <v>6</v>
      </c>
      <c r="D10" t="n">
        <v>0</v>
      </c>
      <c r="E10" t="n">
        <v>0</v>
      </c>
      <c r="F10" t="n">
        <v>500</v>
      </c>
      <c r="G10" t="inlineStr">
        <is>
          <t>Chick mash</t>
        </is>
      </c>
      <c r="H10" t="n">
        <v>17.5</v>
      </c>
      <c r="I10" t="n">
        <v>32.2</v>
      </c>
      <c r="J10" t="n">
        <v>32.1</v>
      </c>
      <c r="K10" t="inlineStr">
        <is>
          <t>Dry</t>
        </is>
      </c>
      <c r="L10" t="n">
        <v>23</v>
      </c>
      <c r="M10" t="n">
        <v>0</v>
      </c>
      <c r="N10" t="n">
        <v>0</v>
      </c>
      <c r="O10" t="n">
        <v>0</v>
      </c>
      <c r="Q10" t="inlineStr">
        <is>
          <t>S02</t>
        </is>
      </c>
    </row>
    <row r="11">
      <c r="A11" t="inlineStr">
        <is>
          <t>2025-10-17</t>
        </is>
      </c>
      <c r="B11" t="inlineStr">
        <is>
          <t>BRO-P01</t>
        </is>
      </c>
      <c r="C11" t="n">
        <v>7</v>
      </c>
      <c r="D11" t="n">
        <v>0</v>
      </c>
      <c r="E11" t="n">
        <v>0</v>
      </c>
      <c r="F11" t="n">
        <v>500</v>
      </c>
      <c r="G11" t="inlineStr">
        <is>
          <t>Chick mash</t>
        </is>
      </c>
      <c r="H11" t="n">
        <v>18.6</v>
      </c>
      <c r="I11" t="n">
        <v>32.3</v>
      </c>
      <c r="J11" t="n">
        <v>27.3</v>
      </c>
      <c r="K11" t="inlineStr">
        <is>
          <t>Dry</t>
        </is>
      </c>
      <c r="L11" t="n">
        <v>23</v>
      </c>
      <c r="M11" t="n">
        <v>0</v>
      </c>
      <c r="N11" t="n">
        <v>0</v>
      </c>
      <c r="O11" t="n">
        <v>0</v>
      </c>
      <c r="Q11" t="inlineStr">
        <is>
          <t>S02</t>
        </is>
      </c>
    </row>
    <row r="12">
      <c r="A12" t="inlineStr">
        <is>
          <t>2025-10-18</t>
        </is>
      </c>
      <c r="B12" t="inlineStr">
        <is>
          <t>BRO-P01</t>
        </is>
      </c>
      <c r="C12" t="n">
        <v>8</v>
      </c>
      <c r="D12" t="n">
        <v>0</v>
      </c>
      <c r="E12" t="n">
        <v>0</v>
      </c>
      <c r="F12" t="n">
        <v>500</v>
      </c>
      <c r="G12" t="inlineStr">
        <is>
          <t>Chick mash</t>
        </is>
      </c>
      <c r="H12" t="n">
        <v>22.3</v>
      </c>
      <c r="I12" t="n">
        <v>36.6</v>
      </c>
      <c r="J12" t="n">
        <v>32.6</v>
      </c>
      <c r="K12" t="inlineStr">
        <is>
          <t>Dry</t>
        </is>
      </c>
      <c r="L12" t="n">
        <v>23</v>
      </c>
      <c r="M12" t="n">
        <v>0</v>
      </c>
      <c r="N12" t="n">
        <v>0</v>
      </c>
      <c r="O12" t="n">
        <v>0</v>
      </c>
      <c r="Q12" t="inlineStr">
        <is>
          <t>S02</t>
        </is>
      </c>
    </row>
    <row r="13">
      <c r="A13" t="inlineStr">
        <is>
          <t>2025-10-19</t>
        </is>
      </c>
      <c r="B13" t="inlineStr">
        <is>
          <t>BRO-P01</t>
        </is>
      </c>
      <c r="C13" t="n">
        <v>9</v>
      </c>
      <c r="D13" t="n">
        <v>0</v>
      </c>
      <c r="E13" t="n">
        <v>0</v>
      </c>
      <c r="F13" t="n">
        <v>500</v>
      </c>
      <c r="G13" t="inlineStr">
        <is>
          <t>Chick mash</t>
        </is>
      </c>
      <c r="H13" t="n">
        <v>19.7</v>
      </c>
      <c r="I13" t="n">
        <v>33.4</v>
      </c>
      <c r="J13" t="n">
        <v>28.8</v>
      </c>
      <c r="K13" t="inlineStr">
        <is>
          <t>Dry</t>
        </is>
      </c>
      <c r="L13" t="n">
        <v>23</v>
      </c>
      <c r="M13" t="n">
        <v>0</v>
      </c>
      <c r="N13" t="n">
        <v>0</v>
      </c>
      <c r="O13" t="n">
        <v>0</v>
      </c>
      <c r="Q13" t="inlineStr">
        <is>
          <t>S02</t>
        </is>
      </c>
    </row>
    <row r="14">
      <c r="A14" t="inlineStr">
        <is>
          <t>2025-10-20</t>
        </is>
      </c>
      <c r="B14" t="inlineStr">
        <is>
          <t>BRO-P01</t>
        </is>
      </c>
      <c r="C14" t="n">
        <v>10</v>
      </c>
      <c r="D14" t="n">
        <v>0</v>
      </c>
      <c r="E14" t="n">
        <v>0</v>
      </c>
      <c r="F14" t="n">
        <v>500</v>
      </c>
      <c r="G14" t="inlineStr">
        <is>
          <t>Broiler starter</t>
        </is>
      </c>
      <c r="H14" t="n">
        <v>24.2</v>
      </c>
      <c r="I14" t="n">
        <v>44.4</v>
      </c>
      <c r="J14" t="n">
        <v>30.2</v>
      </c>
      <c r="K14" t="inlineStr">
        <is>
          <t>Dry</t>
        </is>
      </c>
      <c r="L14" t="n">
        <v>23</v>
      </c>
      <c r="M14" t="n">
        <v>0</v>
      </c>
      <c r="N14" t="n">
        <v>0</v>
      </c>
      <c r="O14" t="n">
        <v>0</v>
      </c>
      <c r="Q14" t="inlineStr">
        <is>
          <t>S02</t>
        </is>
      </c>
    </row>
    <row r="15">
      <c r="A15" t="inlineStr">
        <is>
          <t>2025-10-21</t>
        </is>
      </c>
      <c r="B15" t="inlineStr">
        <is>
          <t>BRO-P01</t>
        </is>
      </c>
      <c r="C15" t="n">
        <v>11</v>
      </c>
      <c r="D15" t="n">
        <v>0</v>
      </c>
      <c r="E15" t="n">
        <v>0</v>
      </c>
      <c r="F15" t="n">
        <v>500</v>
      </c>
      <c r="G15" t="inlineStr">
        <is>
          <t>Broiler starter</t>
        </is>
      </c>
      <c r="H15" t="n">
        <v>23.5</v>
      </c>
      <c r="I15" t="n">
        <v>42.5</v>
      </c>
      <c r="J15" t="n">
        <v>30.9</v>
      </c>
      <c r="K15" t="inlineStr">
        <is>
          <t>Dry</t>
        </is>
      </c>
      <c r="L15" t="n">
        <v>23</v>
      </c>
      <c r="M15" t="n">
        <v>0</v>
      </c>
      <c r="N15" t="n">
        <v>0</v>
      </c>
      <c r="O15" t="n">
        <v>0</v>
      </c>
      <c r="Q15" t="inlineStr">
        <is>
          <t>S02</t>
        </is>
      </c>
    </row>
    <row r="16">
      <c r="A16" t="inlineStr">
        <is>
          <t>2025-10-22</t>
        </is>
      </c>
      <c r="B16" t="inlineStr">
        <is>
          <t>BRO-P01</t>
        </is>
      </c>
      <c r="C16" t="n">
        <v>12</v>
      </c>
      <c r="D16" t="n">
        <v>0</v>
      </c>
      <c r="E16" t="n">
        <v>0</v>
      </c>
      <c r="F16" t="n">
        <v>500</v>
      </c>
      <c r="G16" t="inlineStr">
        <is>
          <t>Broiler starter</t>
        </is>
      </c>
      <c r="H16" t="n">
        <v>24.3</v>
      </c>
      <c r="I16" t="n">
        <v>42.1</v>
      </c>
      <c r="J16" t="n">
        <v>30.6</v>
      </c>
      <c r="K16" t="inlineStr">
        <is>
          <t>Dry</t>
        </is>
      </c>
      <c r="L16" t="n">
        <v>23</v>
      </c>
      <c r="M16" t="n">
        <v>0</v>
      </c>
      <c r="N16" t="n">
        <v>0</v>
      </c>
      <c r="O16" t="n">
        <v>0</v>
      </c>
      <c r="Q16" t="inlineStr">
        <is>
          <t>S02</t>
        </is>
      </c>
    </row>
    <row r="17">
      <c r="A17" t="inlineStr">
        <is>
          <t>2025-10-23</t>
        </is>
      </c>
      <c r="B17" t="inlineStr">
        <is>
          <t>BRO-P01</t>
        </is>
      </c>
      <c r="C17" t="n">
        <v>13</v>
      </c>
      <c r="D17" t="n">
        <v>0</v>
      </c>
      <c r="E17" t="n">
        <v>0</v>
      </c>
      <c r="F17" t="n">
        <v>500</v>
      </c>
      <c r="G17" t="inlineStr">
        <is>
          <t>Broiler starter</t>
        </is>
      </c>
      <c r="H17" t="n">
        <v>27.2</v>
      </c>
      <c r="I17" t="n">
        <v>54.7</v>
      </c>
      <c r="J17" t="n">
        <v>26.8</v>
      </c>
      <c r="K17" t="inlineStr">
        <is>
          <t>Dry</t>
        </is>
      </c>
      <c r="L17" t="n">
        <v>23</v>
      </c>
      <c r="M17" t="n">
        <v>0</v>
      </c>
      <c r="N17" t="n">
        <v>0</v>
      </c>
      <c r="O17" t="n">
        <v>0</v>
      </c>
      <c r="Q17" t="inlineStr">
        <is>
          <t>S02</t>
        </is>
      </c>
    </row>
    <row r="18">
      <c r="A18" t="inlineStr">
        <is>
          <t>2025-10-24</t>
        </is>
      </c>
      <c r="B18" t="inlineStr">
        <is>
          <t>BRO-P01</t>
        </is>
      </c>
      <c r="C18" t="n">
        <v>14</v>
      </c>
      <c r="D18" t="n">
        <v>0</v>
      </c>
      <c r="E18" t="n">
        <v>0</v>
      </c>
      <c r="F18" t="n">
        <v>500</v>
      </c>
      <c r="G18" t="inlineStr">
        <is>
          <t>Broiler starter</t>
        </is>
      </c>
      <c r="H18" t="n">
        <v>30.2</v>
      </c>
      <c r="I18" t="n">
        <v>59</v>
      </c>
      <c r="J18" t="n">
        <v>31.5</v>
      </c>
      <c r="K18" t="inlineStr">
        <is>
          <t>Dry</t>
        </is>
      </c>
      <c r="L18" t="n">
        <v>23</v>
      </c>
      <c r="M18" t="n">
        <v>0</v>
      </c>
      <c r="N18" t="n">
        <v>0</v>
      </c>
      <c r="O18" t="n">
        <v>0</v>
      </c>
      <c r="Q18" t="inlineStr">
        <is>
          <t>S02</t>
        </is>
      </c>
    </row>
    <row r="19">
      <c r="A19" t="inlineStr">
        <is>
          <t>2025-10-25</t>
        </is>
      </c>
      <c r="B19" t="inlineStr">
        <is>
          <t>BRO-P01</t>
        </is>
      </c>
      <c r="C19" t="n">
        <v>15</v>
      </c>
      <c r="D19" t="n">
        <v>0</v>
      </c>
      <c r="E19" t="n">
        <v>0</v>
      </c>
      <c r="F19" t="n">
        <v>500</v>
      </c>
      <c r="G19" t="inlineStr">
        <is>
          <t>Broiler starter</t>
        </is>
      </c>
      <c r="H19" t="n">
        <v>28</v>
      </c>
      <c r="I19" t="n">
        <v>56.1</v>
      </c>
      <c r="J19" t="n">
        <v>26.6</v>
      </c>
      <c r="K19" t="inlineStr">
        <is>
          <t>Dry</t>
        </is>
      </c>
      <c r="L19" t="n">
        <v>23</v>
      </c>
      <c r="M19" t="n">
        <v>0</v>
      </c>
      <c r="N19" t="n">
        <v>0</v>
      </c>
      <c r="O19" t="n">
        <v>0</v>
      </c>
      <c r="Q19" t="inlineStr">
        <is>
          <t>S02</t>
        </is>
      </c>
    </row>
    <row r="20">
      <c r="A20" t="inlineStr">
        <is>
          <t>2025-10-26</t>
        </is>
      </c>
      <c r="B20" t="inlineStr">
        <is>
          <t>BRO-P01</t>
        </is>
      </c>
      <c r="C20" t="n">
        <v>16</v>
      </c>
      <c r="D20" t="n">
        <v>0</v>
      </c>
      <c r="E20" t="n">
        <v>0</v>
      </c>
      <c r="F20" t="n">
        <v>500</v>
      </c>
      <c r="G20" t="inlineStr">
        <is>
          <t>Broiler starter</t>
        </is>
      </c>
      <c r="H20" t="n">
        <v>30.2</v>
      </c>
      <c r="I20" t="n">
        <v>50.9</v>
      </c>
      <c r="J20" t="n">
        <v>28.8</v>
      </c>
      <c r="K20" t="inlineStr">
        <is>
          <t>Dry</t>
        </is>
      </c>
      <c r="L20" t="n">
        <v>23</v>
      </c>
      <c r="M20" t="n">
        <v>0</v>
      </c>
      <c r="N20" t="n">
        <v>0</v>
      </c>
      <c r="O20" t="n">
        <v>0</v>
      </c>
      <c r="Q20" t="inlineStr">
        <is>
          <t>S02</t>
        </is>
      </c>
    </row>
    <row r="21">
      <c r="A21" t="inlineStr">
        <is>
          <t>2025-10-27</t>
        </is>
      </c>
      <c r="B21" t="inlineStr">
        <is>
          <t>BRO-P01</t>
        </is>
      </c>
      <c r="C21" t="n">
        <v>17</v>
      </c>
      <c r="D21" t="n">
        <v>0</v>
      </c>
      <c r="E21" t="n">
        <v>0</v>
      </c>
      <c r="F21" t="n">
        <v>500</v>
      </c>
      <c r="G21" t="inlineStr">
        <is>
          <t>Broiler starter</t>
        </is>
      </c>
      <c r="H21" t="n">
        <v>34.4</v>
      </c>
      <c r="I21" t="n">
        <v>61.1</v>
      </c>
      <c r="J21" t="n">
        <v>26.8</v>
      </c>
      <c r="K21" t="inlineStr">
        <is>
          <t>Dry</t>
        </is>
      </c>
      <c r="L21" t="n">
        <v>23</v>
      </c>
      <c r="M21" t="n">
        <v>0</v>
      </c>
      <c r="N21" t="n">
        <v>0</v>
      </c>
      <c r="O21" t="n">
        <v>0</v>
      </c>
      <c r="Q21" t="inlineStr">
        <is>
          <t>S02</t>
        </is>
      </c>
    </row>
    <row r="22">
      <c r="A22" t="inlineStr">
        <is>
          <t>2025-10-28</t>
        </is>
      </c>
      <c r="B22" t="inlineStr">
        <is>
          <t>BRO-P01</t>
        </is>
      </c>
      <c r="C22" t="n">
        <v>18</v>
      </c>
      <c r="D22" t="n">
        <v>0</v>
      </c>
      <c r="E22" t="n">
        <v>0</v>
      </c>
      <c r="F22" t="n">
        <v>500</v>
      </c>
      <c r="G22" t="inlineStr">
        <is>
          <t>Broiler starter</t>
        </is>
      </c>
      <c r="H22" t="n">
        <v>30.7</v>
      </c>
      <c r="I22" t="n">
        <v>54.1</v>
      </c>
      <c r="J22" t="n">
        <v>29.2</v>
      </c>
      <c r="K22" t="inlineStr">
        <is>
          <t>Dry</t>
        </is>
      </c>
      <c r="L22" t="n">
        <v>23</v>
      </c>
      <c r="M22" t="n">
        <v>0</v>
      </c>
      <c r="N22" t="n">
        <v>0</v>
      </c>
      <c r="O22" t="n">
        <v>0</v>
      </c>
      <c r="Q22" t="inlineStr">
        <is>
          <t>S02</t>
        </is>
      </c>
    </row>
    <row r="23">
      <c r="A23" t="inlineStr">
        <is>
          <t>2025-10-29</t>
        </is>
      </c>
      <c r="B23" t="inlineStr">
        <is>
          <t>BRO-P01</t>
        </is>
      </c>
      <c r="C23" t="n">
        <v>19</v>
      </c>
      <c r="D23" t="n">
        <v>1</v>
      </c>
      <c r="E23" t="n">
        <v>0</v>
      </c>
      <c r="F23" t="n">
        <v>499</v>
      </c>
      <c r="G23" t="inlineStr">
        <is>
          <t>Broiler starter</t>
        </is>
      </c>
      <c r="H23" t="n">
        <v>37.8</v>
      </c>
      <c r="I23" t="n">
        <v>70.3</v>
      </c>
      <c r="J23" t="n">
        <v>31</v>
      </c>
      <c r="K23" t="inlineStr">
        <is>
          <t>Dry</t>
        </is>
      </c>
      <c r="L23" t="n">
        <v>23</v>
      </c>
      <c r="M23" t="n">
        <v>0</v>
      </c>
      <c r="N23" t="n">
        <v>0</v>
      </c>
      <c r="O23" t="n">
        <v>0</v>
      </c>
      <c r="Q23" t="inlineStr">
        <is>
          <t>S02</t>
        </is>
      </c>
    </row>
    <row r="24">
      <c r="A24" t="inlineStr">
        <is>
          <t>2025-10-30</t>
        </is>
      </c>
      <c r="B24" t="inlineStr">
        <is>
          <t>BRO-P01</t>
        </is>
      </c>
      <c r="C24" t="n">
        <v>20</v>
      </c>
      <c r="D24" t="n">
        <v>0</v>
      </c>
      <c r="E24" t="n">
        <v>0</v>
      </c>
      <c r="F24" t="n">
        <v>499</v>
      </c>
      <c r="G24" t="inlineStr">
        <is>
          <t>Broiler starter</t>
        </is>
      </c>
      <c r="H24" t="n">
        <v>35.6</v>
      </c>
      <c r="I24" t="n">
        <v>61.6</v>
      </c>
      <c r="J24" t="n">
        <v>30.5</v>
      </c>
      <c r="K24" t="inlineStr">
        <is>
          <t>Dry</t>
        </is>
      </c>
      <c r="L24" t="n">
        <v>23</v>
      </c>
      <c r="M24" t="n">
        <v>0</v>
      </c>
      <c r="N24" t="n">
        <v>0</v>
      </c>
      <c r="O24" t="n">
        <v>0</v>
      </c>
      <c r="Q24" t="inlineStr">
        <is>
          <t>S02</t>
        </is>
      </c>
    </row>
    <row r="25">
      <c r="A25" t="inlineStr">
        <is>
          <t>2025-10-31</t>
        </is>
      </c>
      <c r="B25" t="inlineStr">
        <is>
          <t>BRO-P01</t>
        </is>
      </c>
      <c r="C25" t="n">
        <v>21</v>
      </c>
      <c r="D25" t="n">
        <v>0</v>
      </c>
      <c r="E25" t="n">
        <v>0</v>
      </c>
      <c r="F25" t="n">
        <v>499</v>
      </c>
      <c r="G25" t="inlineStr">
        <is>
          <t>Broiler starter</t>
        </is>
      </c>
      <c r="H25" t="n">
        <v>36</v>
      </c>
      <c r="I25" t="n">
        <v>69</v>
      </c>
      <c r="J25" t="n">
        <v>26.5</v>
      </c>
      <c r="K25" t="inlineStr">
        <is>
          <t>Dry</t>
        </is>
      </c>
      <c r="L25" t="n">
        <v>23</v>
      </c>
      <c r="M25" t="n">
        <v>0</v>
      </c>
      <c r="N25" t="n">
        <v>0</v>
      </c>
      <c r="O25" t="n">
        <v>0</v>
      </c>
      <c r="Q25" t="inlineStr">
        <is>
          <t>S02</t>
        </is>
      </c>
    </row>
    <row r="26">
      <c r="A26" t="inlineStr">
        <is>
          <t>2025-11-01</t>
        </is>
      </c>
      <c r="B26" t="inlineStr">
        <is>
          <t>BRO-P01</t>
        </is>
      </c>
      <c r="C26" t="n">
        <v>22</v>
      </c>
      <c r="D26" t="n">
        <v>0</v>
      </c>
      <c r="E26" t="n">
        <v>0</v>
      </c>
      <c r="F26" t="n">
        <v>499</v>
      </c>
      <c r="G26" t="inlineStr">
        <is>
          <t>Broiler starter</t>
        </is>
      </c>
      <c r="H26" t="n">
        <v>38.2</v>
      </c>
      <c r="I26" t="n">
        <v>62.1</v>
      </c>
      <c r="J26" t="n">
        <v>26.8</v>
      </c>
      <c r="K26" t="inlineStr">
        <is>
          <t>Dry</t>
        </is>
      </c>
      <c r="M26" t="n">
        <v>0</v>
      </c>
      <c r="N26" t="n">
        <v>0</v>
      </c>
      <c r="O26" t="n">
        <v>0</v>
      </c>
      <c r="Q26" t="inlineStr">
        <is>
          <t>S02</t>
        </is>
      </c>
    </row>
    <row r="27">
      <c r="A27" t="inlineStr">
        <is>
          <t>2025-11-02</t>
        </is>
      </c>
      <c r="B27" t="inlineStr">
        <is>
          <t>BRO-P01</t>
        </is>
      </c>
      <c r="C27" t="n">
        <v>23</v>
      </c>
      <c r="D27" t="n">
        <v>2</v>
      </c>
      <c r="E27" t="n">
        <v>0</v>
      </c>
      <c r="F27" t="n">
        <v>497</v>
      </c>
      <c r="G27" t="inlineStr">
        <is>
          <t>Broiler starter</t>
        </is>
      </c>
      <c r="H27" t="n">
        <v>43.3</v>
      </c>
      <c r="I27" t="n">
        <v>74</v>
      </c>
      <c r="J27" t="n">
        <v>26.1</v>
      </c>
      <c r="K27" t="inlineStr">
        <is>
          <t>Dry</t>
        </is>
      </c>
      <c r="M27" t="n">
        <v>0</v>
      </c>
      <c r="N27" t="n">
        <v>0</v>
      </c>
      <c r="O27" t="n">
        <v>0</v>
      </c>
      <c r="Q27" t="inlineStr">
        <is>
          <t>S02</t>
        </is>
      </c>
    </row>
    <row r="28">
      <c r="A28" t="inlineStr">
        <is>
          <t>2025-11-03</t>
        </is>
      </c>
      <c r="B28" t="inlineStr">
        <is>
          <t>BRO-P01</t>
        </is>
      </c>
      <c r="C28" t="n">
        <v>24</v>
      </c>
      <c r="D28" t="n">
        <v>0</v>
      </c>
      <c r="E28" t="n">
        <v>0</v>
      </c>
      <c r="F28" t="n">
        <v>497</v>
      </c>
      <c r="G28" t="inlineStr">
        <is>
          <t>Broiler grower</t>
        </is>
      </c>
      <c r="H28" t="n">
        <v>38.2</v>
      </c>
      <c r="I28" t="n">
        <v>62.8</v>
      </c>
      <c r="J28" t="n">
        <v>27.1</v>
      </c>
      <c r="K28" t="inlineStr">
        <is>
          <t>Dry</t>
        </is>
      </c>
      <c r="M28" t="n">
        <v>0</v>
      </c>
      <c r="N28" t="n">
        <v>0</v>
      </c>
      <c r="O28" t="n">
        <v>0</v>
      </c>
      <c r="Q28" t="inlineStr">
        <is>
          <t>S02</t>
        </is>
      </c>
    </row>
    <row r="29">
      <c r="A29" t="inlineStr">
        <is>
          <t>2025-11-04</t>
        </is>
      </c>
      <c r="B29" t="inlineStr">
        <is>
          <t>BRO-P01</t>
        </is>
      </c>
      <c r="C29" t="n">
        <v>25</v>
      </c>
      <c r="D29" t="n">
        <v>0</v>
      </c>
      <c r="E29" t="n">
        <v>0</v>
      </c>
      <c r="F29" t="n">
        <v>497</v>
      </c>
      <c r="G29" t="inlineStr">
        <is>
          <t>Broiler grower</t>
        </is>
      </c>
      <c r="H29" t="n">
        <v>43.2</v>
      </c>
      <c r="I29" t="n">
        <v>71.90000000000001</v>
      </c>
      <c r="J29" t="n">
        <v>28.2</v>
      </c>
      <c r="K29" t="inlineStr">
        <is>
          <t>Dry</t>
        </is>
      </c>
      <c r="M29" t="n">
        <v>0</v>
      </c>
      <c r="N29" t="n">
        <v>0</v>
      </c>
      <c r="O29" t="n">
        <v>0</v>
      </c>
      <c r="Q29" t="inlineStr">
        <is>
          <t>S02</t>
        </is>
      </c>
    </row>
    <row r="30">
      <c r="A30" t="inlineStr">
        <is>
          <t>2025-11-05</t>
        </is>
      </c>
      <c r="B30" t="inlineStr">
        <is>
          <t>BRO-P01</t>
        </is>
      </c>
      <c r="C30" t="n">
        <v>26</v>
      </c>
      <c r="D30" t="n">
        <v>0</v>
      </c>
      <c r="E30" t="n">
        <v>0</v>
      </c>
      <c r="F30" t="n">
        <v>497</v>
      </c>
      <c r="G30" t="inlineStr">
        <is>
          <t>Broiler grower</t>
        </is>
      </c>
      <c r="H30" t="n">
        <v>46</v>
      </c>
      <c r="I30" t="n">
        <v>87.09999999999999</v>
      </c>
      <c r="J30" t="n">
        <v>24</v>
      </c>
      <c r="K30" t="inlineStr">
        <is>
          <t>Dry</t>
        </is>
      </c>
      <c r="M30" t="n">
        <v>0</v>
      </c>
      <c r="N30" t="n">
        <v>0</v>
      </c>
      <c r="O30" t="n">
        <v>0</v>
      </c>
      <c r="Q30" t="inlineStr">
        <is>
          <t>S02</t>
        </is>
      </c>
    </row>
    <row r="31">
      <c r="A31" t="inlineStr">
        <is>
          <t>2025-11-06</t>
        </is>
      </c>
      <c r="B31" t="inlineStr">
        <is>
          <t>BRO-P01</t>
        </is>
      </c>
      <c r="C31" t="n">
        <v>27</v>
      </c>
      <c r="D31" t="n">
        <v>0</v>
      </c>
      <c r="E31" t="n">
        <v>0</v>
      </c>
      <c r="F31" t="n">
        <v>497</v>
      </c>
      <c r="G31" t="inlineStr">
        <is>
          <t>Broiler grower</t>
        </is>
      </c>
      <c r="H31" t="n">
        <v>47.9</v>
      </c>
      <c r="I31" t="n">
        <v>88.09999999999999</v>
      </c>
      <c r="J31" t="n">
        <v>27.4</v>
      </c>
      <c r="K31" t="inlineStr">
        <is>
          <t>Dry</t>
        </is>
      </c>
      <c r="M31" t="n">
        <v>0</v>
      </c>
      <c r="N31" t="n">
        <v>0</v>
      </c>
      <c r="O31" t="n">
        <v>0</v>
      </c>
      <c r="Q31" t="inlineStr">
        <is>
          <t>S02</t>
        </is>
      </c>
    </row>
    <row r="32">
      <c r="A32" t="inlineStr">
        <is>
          <t>2025-11-07</t>
        </is>
      </c>
      <c r="B32" t="inlineStr">
        <is>
          <t>BRO-P01</t>
        </is>
      </c>
      <c r="C32" t="n">
        <v>28</v>
      </c>
      <c r="D32" t="n">
        <v>0</v>
      </c>
      <c r="E32" t="n">
        <v>0</v>
      </c>
      <c r="F32" t="n">
        <v>497</v>
      </c>
      <c r="G32" t="inlineStr">
        <is>
          <t>Broiler grower</t>
        </is>
      </c>
      <c r="H32" t="n">
        <v>50.3</v>
      </c>
      <c r="I32" t="n">
        <v>82.59999999999999</v>
      </c>
      <c r="J32" t="n">
        <v>26</v>
      </c>
      <c r="K32" t="inlineStr">
        <is>
          <t>Dry</t>
        </is>
      </c>
      <c r="M32" t="n">
        <v>0</v>
      </c>
      <c r="N32" t="n">
        <v>0</v>
      </c>
      <c r="O32" t="n">
        <v>0</v>
      </c>
      <c r="Q32" t="inlineStr">
        <is>
          <t>S02</t>
        </is>
      </c>
    </row>
    <row r="33">
      <c r="A33" t="inlineStr">
        <is>
          <t>2025-11-08</t>
        </is>
      </c>
      <c r="B33" t="inlineStr">
        <is>
          <t>BRO-P01</t>
        </is>
      </c>
      <c r="C33" t="n">
        <v>29</v>
      </c>
      <c r="D33" t="n">
        <v>0</v>
      </c>
      <c r="E33" t="n">
        <v>0</v>
      </c>
      <c r="F33" t="n">
        <v>497</v>
      </c>
      <c r="G33" t="inlineStr">
        <is>
          <t>Broiler grower</t>
        </is>
      </c>
      <c r="H33" t="n">
        <v>51.5</v>
      </c>
      <c r="I33" t="n">
        <v>100.2</v>
      </c>
      <c r="J33" t="n">
        <v>25.9</v>
      </c>
      <c r="K33" t="inlineStr">
        <is>
          <t>Dry</t>
        </is>
      </c>
      <c r="M33" t="n">
        <v>0</v>
      </c>
      <c r="N33" t="n">
        <v>0</v>
      </c>
      <c r="O33" t="n">
        <v>0</v>
      </c>
      <c r="Q33" t="inlineStr">
        <is>
          <t>S02</t>
        </is>
      </c>
    </row>
    <row r="34">
      <c r="A34" t="inlineStr">
        <is>
          <t>2025-11-09</t>
        </is>
      </c>
      <c r="B34" t="inlineStr">
        <is>
          <t>BRO-P01</t>
        </is>
      </c>
      <c r="C34" t="n">
        <v>30</v>
      </c>
      <c r="D34" t="n">
        <v>0</v>
      </c>
      <c r="E34" t="n">
        <v>0</v>
      </c>
      <c r="F34" t="n">
        <v>497</v>
      </c>
      <c r="G34" t="inlineStr">
        <is>
          <t>Broiler grower</t>
        </is>
      </c>
      <c r="H34" t="n">
        <v>45.6</v>
      </c>
      <c r="I34" t="n">
        <v>83.59999999999999</v>
      </c>
      <c r="J34" t="n">
        <v>27.2</v>
      </c>
      <c r="K34" t="inlineStr">
        <is>
          <t>Dry</t>
        </is>
      </c>
      <c r="M34" t="n">
        <v>0</v>
      </c>
      <c r="N34" t="n">
        <v>0</v>
      </c>
      <c r="O34" t="n">
        <v>0</v>
      </c>
      <c r="Q34" t="inlineStr">
        <is>
          <t>S02</t>
        </is>
      </c>
    </row>
    <row r="35">
      <c r="A35" t="inlineStr">
        <is>
          <t>2025-11-10</t>
        </is>
      </c>
      <c r="B35" t="inlineStr">
        <is>
          <t>BRO-P01</t>
        </is>
      </c>
      <c r="C35" t="n">
        <v>31</v>
      </c>
      <c r="D35" t="n">
        <v>0</v>
      </c>
      <c r="E35" t="n">
        <v>0</v>
      </c>
      <c r="F35" t="n">
        <v>497</v>
      </c>
      <c r="G35" t="inlineStr">
        <is>
          <t>Broiler grower</t>
        </is>
      </c>
      <c r="H35" t="n">
        <v>51</v>
      </c>
      <c r="I35" t="n">
        <v>100.2</v>
      </c>
      <c r="J35" t="n">
        <v>26</v>
      </c>
      <c r="K35" t="inlineStr">
        <is>
          <t>Dry</t>
        </is>
      </c>
      <c r="M35" t="n">
        <v>0</v>
      </c>
      <c r="N35" t="n">
        <v>0</v>
      </c>
      <c r="O35" t="n">
        <v>0</v>
      </c>
      <c r="Q35" t="inlineStr">
        <is>
          <t>S02</t>
        </is>
      </c>
    </row>
    <row r="36">
      <c r="A36" t="inlineStr">
        <is>
          <t>2025-11-11</t>
        </is>
      </c>
      <c r="B36" t="inlineStr">
        <is>
          <t>BRO-P01</t>
        </is>
      </c>
      <c r="C36" t="n">
        <v>32</v>
      </c>
      <c r="D36" t="n">
        <v>0</v>
      </c>
      <c r="E36" t="n">
        <v>0</v>
      </c>
      <c r="F36" t="n">
        <v>497</v>
      </c>
      <c r="G36" t="inlineStr">
        <is>
          <t>Broiler grower</t>
        </is>
      </c>
      <c r="H36" t="n">
        <v>55.6</v>
      </c>
      <c r="I36" t="n">
        <v>106.4</v>
      </c>
      <c r="J36" t="n">
        <v>24.8</v>
      </c>
      <c r="K36" t="inlineStr">
        <is>
          <t>Dry</t>
        </is>
      </c>
      <c r="M36" t="n">
        <v>0</v>
      </c>
      <c r="N36" t="n">
        <v>0</v>
      </c>
      <c r="O36" t="n">
        <v>0</v>
      </c>
      <c r="Q36" t="inlineStr">
        <is>
          <t>S02</t>
        </is>
      </c>
    </row>
    <row r="37">
      <c r="A37" t="inlineStr">
        <is>
          <t>2025-11-12</t>
        </is>
      </c>
      <c r="B37" t="inlineStr">
        <is>
          <t>BRO-P01</t>
        </is>
      </c>
      <c r="C37" t="n">
        <v>33</v>
      </c>
      <c r="D37" t="n">
        <v>0</v>
      </c>
      <c r="E37" t="n">
        <v>0</v>
      </c>
      <c r="F37" t="n">
        <v>497</v>
      </c>
      <c r="G37" t="inlineStr">
        <is>
          <t>Broiler grower</t>
        </is>
      </c>
      <c r="H37" t="n">
        <v>52.1</v>
      </c>
      <c r="I37" t="n">
        <v>85.5</v>
      </c>
      <c r="J37" t="n">
        <v>25.5</v>
      </c>
      <c r="K37" t="inlineStr">
        <is>
          <t>Dry</t>
        </is>
      </c>
      <c r="M37" t="n">
        <v>0</v>
      </c>
      <c r="N37" t="n">
        <v>0</v>
      </c>
      <c r="O37" t="n">
        <v>0</v>
      </c>
      <c r="Q37" t="inlineStr">
        <is>
          <t>S02</t>
        </is>
      </c>
    </row>
    <row r="38">
      <c r="A38" t="inlineStr">
        <is>
          <t>2025-11-13</t>
        </is>
      </c>
      <c r="B38" t="inlineStr">
        <is>
          <t>BRO-P01</t>
        </is>
      </c>
      <c r="C38" t="n">
        <v>34</v>
      </c>
      <c r="D38" t="n">
        <v>0</v>
      </c>
      <c r="E38" t="n">
        <v>0</v>
      </c>
      <c r="F38" t="n">
        <v>497</v>
      </c>
      <c r="G38" t="inlineStr">
        <is>
          <t>Broiler grower</t>
        </is>
      </c>
      <c r="H38" t="n">
        <v>51.7</v>
      </c>
      <c r="I38" t="n">
        <v>97.59999999999999</v>
      </c>
      <c r="J38" t="n">
        <v>27.9</v>
      </c>
      <c r="K38" t="inlineStr">
        <is>
          <t>Dry</t>
        </is>
      </c>
      <c r="M38" t="n">
        <v>0</v>
      </c>
      <c r="N38" t="n">
        <v>0</v>
      </c>
      <c r="O38" t="n">
        <v>0</v>
      </c>
      <c r="Q38" t="inlineStr">
        <is>
          <t>S02</t>
        </is>
      </c>
    </row>
    <row r="39">
      <c r="A39" t="inlineStr">
        <is>
          <t>2025-11-14</t>
        </is>
      </c>
      <c r="B39" t="inlineStr">
        <is>
          <t>BRO-P01</t>
        </is>
      </c>
      <c r="C39" t="n">
        <v>35</v>
      </c>
      <c r="D39" t="n">
        <v>0</v>
      </c>
      <c r="E39" t="n">
        <v>0</v>
      </c>
      <c r="F39" t="n">
        <v>497</v>
      </c>
      <c r="G39" t="inlineStr">
        <is>
          <t>Broiler finisher</t>
        </is>
      </c>
      <c r="H39" t="n">
        <v>56.6</v>
      </c>
      <c r="I39" t="n">
        <v>94.59999999999999</v>
      </c>
      <c r="J39" t="n">
        <v>26.6</v>
      </c>
      <c r="K39" t="inlineStr">
        <is>
          <t>Dry</t>
        </is>
      </c>
      <c r="M39" t="n">
        <v>0</v>
      </c>
      <c r="N39" t="n">
        <v>0</v>
      </c>
      <c r="O39" t="n">
        <v>0</v>
      </c>
      <c r="Q39" t="inlineStr">
        <is>
          <t>S02</t>
        </is>
      </c>
    </row>
    <row r="40">
      <c r="A40" t="inlineStr">
        <is>
          <t>2025-11-15</t>
        </is>
      </c>
      <c r="B40" t="inlineStr">
        <is>
          <t>BRO-P01</t>
        </is>
      </c>
      <c r="C40" t="n">
        <v>36</v>
      </c>
      <c r="D40" t="n">
        <v>0</v>
      </c>
      <c r="E40" t="n">
        <v>0</v>
      </c>
      <c r="F40" t="n">
        <v>497</v>
      </c>
      <c r="G40" t="inlineStr">
        <is>
          <t>Broiler finisher</t>
        </is>
      </c>
      <c r="H40" t="n">
        <v>58.4</v>
      </c>
      <c r="I40" t="n">
        <v>117.3</v>
      </c>
      <c r="J40" t="n">
        <v>26.8</v>
      </c>
      <c r="K40" t="inlineStr">
        <is>
          <t>Dry</t>
        </is>
      </c>
      <c r="M40" t="n">
        <v>0</v>
      </c>
      <c r="N40" t="n">
        <v>0</v>
      </c>
      <c r="O40" t="n">
        <v>0</v>
      </c>
      <c r="Q40" t="inlineStr">
        <is>
          <t>S02</t>
        </is>
      </c>
    </row>
    <row r="41">
      <c r="A41" t="inlineStr">
        <is>
          <t>2025-11-16</t>
        </is>
      </c>
      <c r="B41" t="inlineStr">
        <is>
          <t>BRO-P01</t>
        </is>
      </c>
      <c r="C41" t="n">
        <v>37</v>
      </c>
      <c r="D41" t="n">
        <v>0</v>
      </c>
      <c r="E41" t="n">
        <v>0</v>
      </c>
      <c r="F41" t="n">
        <v>497</v>
      </c>
      <c r="G41" t="inlineStr">
        <is>
          <t>Broiler finisher</t>
        </is>
      </c>
      <c r="H41" t="n">
        <v>60</v>
      </c>
      <c r="I41" t="n">
        <v>103.4</v>
      </c>
      <c r="J41" t="n">
        <v>24</v>
      </c>
      <c r="K41" t="inlineStr">
        <is>
          <t>Dry</t>
        </is>
      </c>
      <c r="M41" t="n">
        <v>0</v>
      </c>
      <c r="N41" t="n">
        <v>0</v>
      </c>
      <c r="O41" t="n">
        <v>0</v>
      </c>
      <c r="Q41" t="inlineStr">
        <is>
          <t>S02</t>
        </is>
      </c>
    </row>
    <row r="42">
      <c r="A42" t="inlineStr">
        <is>
          <t>2025-11-17</t>
        </is>
      </c>
      <c r="B42" t="inlineStr">
        <is>
          <t>BRO-P01</t>
        </is>
      </c>
      <c r="C42" t="n">
        <v>38</v>
      </c>
      <c r="D42" t="n">
        <v>0</v>
      </c>
      <c r="E42" t="n">
        <v>0</v>
      </c>
      <c r="F42" t="n">
        <v>497</v>
      </c>
      <c r="G42" t="inlineStr">
        <is>
          <t>Broiler finisher</t>
        </is>
      </c>
      <c r="H42" t="n">
        <v>59.9</v>
      </c>
      <c r="I42" t="n">
        <v>112.1</v>
      </c>
      <c r="J42" t="n">
        <v>25.6</v>
      </c>
      <c r="K42" t="inlineStr">
        <is>
          <t>Dry</t>
        </is>
      </c>
      <c r="M42" t="n">
        <v>0</v>
      </c>
      <c r="N42" t="n">
        <v>0</v>
      </c>
      <c r="O42" t="n">
        <v>0</v>
      </c>
      <c r="Q42" t="inlineStr">
        <is>
          <t>S02</t>
        </is>
      </c>
    </row>
    <row r="43">
      <c r="A43" t="inlineStr">
        <is>
          <t>2025-11-18</t>
        </is>
      </c>
      <c r="B43" t="inlineStr">
        <is>
          <t>BRO-P01</t>
        </is>
      </c>
      <c r="C43" t="n">
        <v>39</v>
      </c>
      <c r="D43" t="n">
        <v>0</v>
      </c>
      <c r="E43" t="n">
        <v>0</v>
      </c>
      <c r="F43" t="n">
        <v>497</v>
      </c>
      <c r="G43" t="inlineStr">
        <is>
          <t>Broiler finisher</t>
        </is>
      </c>
      <c r="H43" t="n">
        <v>57.8</v>
      </c>
      <c r="I43" t="n">
        <v>112.7</v>
      </c>
      <c r="J43" t="n">
        <v>27.6</v>
      </c>
      <c r="K43" t="inlineStr">
        <is>
          <t>Dry</t>
        </is>
      </c>
      <c r="M43" t="n">
        <v>0</v>
      </c>
      <c r="N43" t="n">
        <v>0</v>
      </c>
      <c r="O43" t="n">
        <v>0</v>
      </c>
      <c r="Q43" t="inlineStr">
        <is>
          <t>S02</t>
        </is>
      </c>
    </row>
    <row r="44">
      <c r="A44" t="inlineStr">
        <is>
          <t>2025-11-19</t>
        </is>
      </c>
      <c r="B44" t="inlineStr">
        <is>
          <t>BRO-P01</t>
        </is>
      </c>
      <c r="C44" t="n">
        <v>40</v>
      </c>
      <c r="D44" t="n">
        <v>0</v>
      </c>
      <c r="E44" t="n">
        <v>0</v>
      </c>
      <c r="F44" t="n">
        <v>497</v>
      </c>
      <c r="G44" t="inlineStr">
        <is>
          <t>Broiler finisher</t>
        </is>
      </c>
      <c r="H44" t="n">
        <v>57.3</v>
      </c>
      <c r="I44" t="n">
        <v>107.4</v>
      </c>
      <c r="J44" t="n">
        <v>24.4</v>
      </c>
      <c r="K44" t="inlineStr">
        <is>
          <t>Dry</t>
        </is>
      </c>
      <c r="M44" t="n">
        <v>0</v>
      </c>
      <c r="N44" t="n">
        <v>0</v>
      </c>
      <c r="O44" t="n">
        <v>0</v>
      </c>
      <c r="Q44" t="inlineStr">
        <is>
          <t>S02</t>
        </is>
      </c>
    </row>
    <row r="45">
      <c r="A45" t="inlineStr">
        <is>
          <t>2025-11-20</t>
        </is>
      </c>
      <c r="B45" t="inlineStr">
        <is>
          <t>BRO-P01</t>
        </is>
      </c>
      <c r="C45" t="n">
        <v>41</v>
      </c>
      <c r="D45" t="n">
        <v>0</v>
      </c>
      <c r="E45" t="n">
        <v>0</v>
      </c>
      <c r="F45" t="n">
        <v>497</v>
      </c>
      <c r="G45" t="inlineStr">
        <is>
          <t>Broiler finisher</t>
        </is>
      </c>
      <c r="H45" t="n">
        <v>60.2</v>
      </c>
      <c r="I45" t="n">
        <v>101.9</v>
      </c>
      <c r="J45" t="n">
        <v>27.8</v>
      </c>
      <c r="K45" t="inlineStr">
        <is>
          <t>Dry</t>
        </is>
      </c>
      <c r="M45" t="n">
        <v>0</v>
      </c>
      <c r="N45" t="n">
        <v>0</v>
      </c>
      <c r="O45" t="n">
        <v>0</v>
      </c>
      <c r="Q45" t="inlineStr">
        <is>
          <t>S02</t>
        </is>
      </c>
    </row>
    <row r="46">
      <c r="A46" t="inlineStr">
        <is>
          <t>2025-11-21</t>
        </is>
      </c>
      <c r="B46" t="inlineStr">
        <is>
          <t>BRO-P01</t>
        </is>
      </c>
      <c r="C46" t="n">
        <v>42</v>
      </c>
      <c r="D46" t="n">
        <v>0</v>
      </c>
      <c r="E46" t="n">
        <v>0</v>
      </c>
      <c r="F46" t="n">
        <v>497</v>
      </c>
      <c r="G46" t="inlineStr">
        <is>
          <t>Broiler finisher</t>
        </is>
      </c>
      <c r="H46" t="n">
        <v>67.5</v>
      </c>
      <c r="I46" t="n">
        <v>107.9</v>
      </c>
      <c r="J46" t="n">
        <v>27.6</v>
      </c>
      <c r="K46" t="inlineStr">
        <is>
          <t>Dry</t>
        </is>
      </c>
      <c r="M46" t="n">
        <v>0</v>
      </c>
      <c r="N46" t="n">
        <v>0</v>
      </c>
      <c r="O46" t="n">
        <v>0</v>
      </c>
      <c r="Q46" t="inlineStr">
        <is>
          <t>S02</t>
        </is>
      </c>
    </row>
    <row r="47">
      <c r="A47" t="inlineStr">
        <is>
          <t>2025-12-20</t>
        </is>
      </c>
      <c r="B47" t="inlineStr">
        <is>
          <t>BRO-P02</t>
        </is>
      </c>
      <c r="C47" t="n">
        <v>0</v>
      </c>
      <c r="D47" t="n">
        <v>0</v>
      </c>
      <c r="E47" t="n">
        <v>0</v>
      </c>
      <c r="F47" t="n">
        <v>520</v>
      </c>
      <c r="G47" t="inlineStr">
        <is>
          <t>Chick mash</t>
        </is>
      </c>
      <c r="H47" t="n">
        <v>11.2</v>
      </c>
      <c r="I47" t="n">
        <v>21.3</v>
      </c>
      <c r="J47" t="n">
        <v>33.3</v>
      </c>
      <c r="K47" t="inlineStr">
        <is>
          <t>Dry</t>
        </is>
      </c>
      <c r="L47" t="n">
        <v>23</v>
      </c>
      <c r="M47" t="n">
        <v>0</v>
      </c>
      <c r="N47" t="n">
        <v>0</v>
      </c>
      <c r="O47" t="n">
        <v>0</v>
      </c>
      <c r="Q47" t="inlineStr">
        <is>
          <t>S02</t>
        </is>
      </c>
    </row>
    <row r="48">
      <c r="A48" t="inlineStr">
        <is>
          <t>2025-12-21</t>
        </is>
      </c>
      <c r="B48" t="inlineStr">
        <is>
          <t>BRO-P02</t>
        </is>
      </c>
      <c r="C48" t="n">
        <v>1</v>
      </c>
      <c r="D48" t="n">
        <v>0</v>
      </c>
      <c r="E48" t="n">
        <v>0</v>
      </c>
      <c r="F48" t="n">
        <v>520</v>
      </c>
      <c r="G48" t="inlineStr">
        <is>
          <t>Chick mash</t>
        </is>
      </c>
      <c r="H48" t="n">
        <v>11.9</v>
      </c>
      <c r="I48" t="n">
        <v>20.1</v>
      </c>
      <c r="J48" t="n">
        <v>32.6</v>
      </c>
      <c r="K48" t="inlineStr">
        <is>
          <t>Dry</t>
        </is>
      </c>
      <c r="L48" t="n">
        <v>23</v>
      </c>
      <c r="M48" t="n">
        <v>0</v>
      </c>
      <c r="N48" t="n">
        <v>0</v>
      </c>
      <c r="O48" t="n">
        <v>0</v>
      </c>
      <c r="Q48" t="inlineStr">
        <is>
          <t>S02</t>
        </is>
      </c>
    </row>
    <row r="49">
      <c r="A49" t="inlineStr">
        <is>
          <t>2025-12-22</t>
        </is>
      </c>
      <c r="B49" t="inlineStr">
        <is>
          <t>BRO-P02</t>
        </is>
      </c>
      <c r="C49" t="n">
        <v>2</v>
      </c>
      <c r="D49" t="n">
        <v>0</v>
      </c>
      <c r="E49" t="n">
        <v>0</v>
      </c>
      <c r="F49" t="n">
        <v>520</v>
      </c>
      <c r="G49" t="inlineStr">
        <is>
          <t>Chick mash</t>
        </is>
      </c>
      <c r="H49" t="n">
        <v>12.5</v>
      </c>
      <c r="I49" t="n">
        <v>23.4</v>
      </c>
      <c r="J49" t="n">
        <v>33.4</v>
      </c>
      <c r="K49" t="inlineStr">
        <is>
          <t>Dry</t>
        </is>
      </c>
      <c r="L49" t="n">
        <v>23</v>
      </c>
      <c r="M49" t="n">
        <v>0</v>
      </c>
      <c r="N49" t="n">
        <v>0</v>
      </c>
      <c r="O49" t="n">
        <v>0</v>
      </c>
      <c r="Q49" t="inlineStr">
        <is>
          <t>S02</t>
        </is>
      </c>
    </row>
    <row r="50">
      <c r="A50" t="inlineStr">
        <is>
          <t>2025-12-23</t>
        </is>
      </c>
      <c r="B50" t="inlineStr">
        <is>
          <t>BRO-P02</t>
        </is>
      </c>
      <c r="C50" t="n">
        <v>3</v>
      </c>
      <c r="D50" t="n">
        <v>0</v>
      </c>
      <c r="E50" t="n">
        <v>0</v>
      </c>
      <c r="F50" t="n">
        <v>520</v>
      </c>
      <c r="G50" t="inlineStr">
        <is>
          <t>Chick mash</t>
        </is>
      </c>
      <c r="H50" t="n">
        <v>15.8</v>
      </c>
      <c r="I50" t="n">
        <v>31.7</v>
      </c>
      <c r="J50" t="n">
        <v>29.5</v>
      </c>
      <c r="K50" t="inlineStr">
        <is>
          <t>Dry</t>
        </is>
      </c>
      <c r="L50" t="n">
        <v>23</v>
      </c>
      <c r="M50" t="n">
        <v>0</v>
      </c>
      <c r="N50" t="n">
        <v>0</v>
      </c>
      <c r="O50" t="n">
        <v>0</v>
      </c>
      <c r="Q50" t="inlineStr">
        <is>
          <t>S02</t>
        </is>
      </c>
    </row>
    <row r="51">
      <c r="A51" t="inlineStr">
        <is>
          <t>2025-12-24</t>
        </is>
      </c>
      <c r="B51" t="inlineStr">
        <is>
          <t>BRO-P02</t>
        </is>
      </c>
      <c r="C51" t="n">
        <v>4</v>
      </c>
      <c r="D51" t="n">
        <v>0</v>
      </c>
      <c r="E51" t="n">
        <v>0</v>
      </c>
      <c r="F51" t="n">
        <v>520</v>
      </c>
      <c r="G51" t="inlineStr">
        <is>
          <t>Chick mash</t>
        </is>
      </c>
      <c r="H51" t="n">
        <v>14.3</v>
      </c>
      <c r="I51" t="n">
        <v>24.2</v>
      </c>
      <c r="J51" t="n">
        <v>31.3</v>
      </c>
      <c r="K51" t="inlineStr">
        <is>
          <t>Dry</t>
        </is>
      </c>
      <c r="L51" t="n">
        <v>23</v>
      </c>
      <c r="M51" t="n">
        <v>0</v>
      </c>
      <c r="N51" t="n">
        <v>0</v>
      </c>
      <c r="O51" t="n">
        <v>0</v>
      </c>
      <c r="Q51" t="inlineStr">
        <is>
          <t>S02</t>
        </is>
      </c>
    </row>
    <row r="52">
      <c r="A52" t="inlineStr">
        <is>
          <t>2025-12-25</t>
        </is>
      </c>
      <c r="B52" t="inlineStr">
        <is>
          <t>BRO-P02</t>
        </is>
      </c>
      <c r="C52" t="n">
        <v>5</v>
      </c>
      <c r="D52" t="n">
        <v>0</v>
      </c>
      <c r="E52" t="n">
        <v>0</v>
      </c>
      <c r="F52" t="n">
        <v>520</v>
      </c>
      <c r="G52" t="inlineStr">
        <is>
          <t>Chick mash</t>
        </is>
      </c>
      <c r="H52" t="n">
        <v>18.4</v>
      </c>
      <c r="I52" t="n">
        <v>35.7</v>
      </c>
      <c r="J52" t="n">
        <v>32.9</v>
      </c>
      <c r="K52" t="inlineStr">
        <is>
          <t>Dry</t>
        </is>
      </c>
      <c r="L52" t="n">
        <v>23</v>
      </c>
      <c r="M52" t="n">
        <v>0</v>
      </c>
      <c r="N52" t="n">
        <v>0</v>
      </c>
      <c r="O52" t="n">
        <v>0</v>
      </c>
      <c r="Q52" t="inlineStr">
        <is>
          <t>S02</t>
        </is>
      </c>
    </row>
    <row r="53">
      <c r="A53" t="inlineStr">
        <is>
          <t>2025-12-26</t>
        </is>
      </c>
      <c r="B53" t="inlineStr">
        <is>
          <t>BRO-P02</t>
        </is>
      </c>
      <c r="C53" t="n">
        <v>6</v>
      </c>
      <c r="D53" t="n">
        <v>0</v>
      </c>
      <c r="E53" t="n">
        <v>0</v>
      </c>
      <c r="F53" t="n">
        <v>520</v>
      </c>
      <c r="G53" t="inlineStr">
        <is>
          <t>Chick mash</t>
        </is>
      </c>
      <c r="H53" t="n">
        <v>19.5</v>
      </c>
      <c r="I53" t="n">
        <v>35.5</v>
      </c>
      <c r="J53" t="n">
        <v>30.9</v>
      </c>
      <c r="K53" t="inlineStr">
        <is>
          <t>Dry</t>
        </is>
      </c>
      <c r="L53" t="n">
        <v>23</v>
      </c>
      <c r="M53" t="n">
        <v>0</v>
      </c>
      <c r="N53" t="n">
        <v>0</v>
      </c>
      <c r="O53" t="n">
        <v>0</v>
      </c>
      <c r="Q53" t="inlineStr">
        <is>
          <t>S02</t>
        </is>
      </c>
    </row>
    <row r="54">
      <c r="A54" t="inlineStr">
        <is>
          <t>2025-12-27</t>
        </is>
      </c>
      <c r="B54" t="inlineStr">
        <is>
          <t>BRO-P02</t>
        </is>
      </c>
      <c r="C54" t="n">
        <v>7</v>
      </c>
      <c r="D54" t="n">
        <v>0</v>
      </c>
      <c r="E54" t="n">
        <v>0</v>
      </c>
      <c r="F54" t="n">
        <v>520</v>
      </c>
      <c r="G54" t="inlineStr">
        <is>
          <t>Chick mash</t>
        </is>
      </c>
      <c r="H54" t="n">
        <v>19</v>
      </c>
      <c r="I54" t="n">
        <v>31.6</v>
      </c>
      <c r="J54" t="n">
        <v>31.3</v>
      </c>
      <c r="K54" t="inlineStr">
        <is>
          <t>Dry</t>
        </is>
      </c>
      <c r="L54" t="n">
        <v>23</v>
      </c>
      <c r="M54" t="n">
        <v>0</v>
      </c>
      <c r="N54" t="n">
        <v>0</v>
      </c>
      <c r="O54" t="n">
        <v>0</v>
      </c>
      <c r="Q54" t="inlineStr">
        <is>
          <t>S02</t>
        </is>
      </c>
    </row>
    <row r="55">
      <c r="A55" t="inlineStr">
        <is>
          <t>2025-12-28</t>
        </is>
      </c>
      <c r="B55" t="inlineStr">
        <is>
          <t>BRO-P02</t>
        </is>
      </c>
      <c r="C55" t="n">
        <v>8</v>
      </c>
      <c r="D55" t="n">
        <v>0</v>
      </c>
      <c r="E55" t="n">
        <v>0</v>
      </c>
      <c r="F55" t="n">
        <v>520</v>
      </c>
      <c r="G55" t="inlineStr">
        <is>
          <t>Chick mash</t>
        </is>
      </c>
      <c r="H55" t="n">
        <v>21.3</v>
      </c>
      <c r="I55" t="n">
        <v>37.2</v>
      </c>
      <c r="J55" t="n">
        <v>29.6</v>
      </c>
      <c r="K55" t="inlineStr">
        <is>
          <t>Dry</t>
        </is>
      </c>
      <c r="L55" t="n">
        <v>23</v>
      </c>
      <c r="M55" t="n">
        <v>0</v>
      </c>
      <c r="N55" t="n">
        <v>0</v>
      </c>
      <c r="O55" t="n">
        <v>0</v>
      </c>
      <c r="Q55" t="inlineStr">
        <is>
          <t>S02</t>
        </is>
      </c>
    </row>
    <row r="56">
      <c r="A56" t="inlineStr">
        <is>
          <t>2025-12-29</t>
        </is>
      </c>
      <c r="B56" t="inlineStr">
        <is>
          <t>BRO-P02</t>
        </is>
      </c>
      <c r="C56" t="n">
        <v>9</v>
      </c>
      <c r="D56" t="n">
        <v>0</v>
      </c>
      <c r="E56" t="n">
        <v>0</v>
      </c>
      <c r="F56" t="n">
        <v>520</v>
      </c>
      <c r="G56" t="inlineStr">
        <is>
          <t>Chick mash</t>
        </is>
      </c>
      <c r="H56" t="n">
        <v>22.9</v>
      </c>
      <c r="I56" t="n">
        <v>38.8</v>
      </c>
      <c r="J56" t="n">
        <v>28.9</v>
      </c>
      <c r="K56" t="inlineStr">
        <is>
          <t>Dry</t>
        </is>
      </c>
      <c r="L56" t="n">
        <v>23</v>
      </c>
      <c r="M56" t="n">
        <v>0</v>
      </c>
      <c r="N56" t="n">
        <v>0</v>
      </c>
      <c r="O56" t="n">
        <v>0</v>
      </c>
      <c r="Q56" t="inlineStr">
        <is>
          <t>S02</t>
        </is>
      </c>
    </row>
    <row r="57">
      <c r="A57" t="inlineStr">
        <is>
          <t>2025-12-30</t>
        </is>
      </c>
      <c r="B57" t="inlineStr">
        <is>
          <t>BRO-P02</t>
        </is>
      </c>
      <c r="C57" t="n">
        <v>10</v>
      </c>
      <c r="D57" t="n">
        <v>0</v>
      </c>
      <c r="E57" t="n">
        <v>0</v>
      </c>
      <c r="F57" t="n">
        <v>520</v>
      </c>
      <c r="G57" t="inlineStr">
        <is>
          <t>Broiler starter</t>
        </is>
      </c>
      <c r="H57" t="n">
        <v>22.3</v>
      </c>
      <c r="I57" t="n">
        <v>38.4</v>
      </c>
      <c r="J57" t="n">
        <v>27.1</v>
      </c>
      <c r="K57" t="inlineStr">
        <is>
          <t>Dry</t>
        </is>
      </c>
      <c r="L57" t="n">
        <v>23</v>
      </c>
      <c r="M57" t="n">
        <v>0</v>
      </c>
      <c r="N57" t="n">
        <v>0</v>
      </c>
      <c r="O57" t="n">
        <v>0</v>
      </c>
      <c r="Q57" t="inlineStr">
        <is>
          <t>S02</t>
        </is>
      </c>
    </row>
    <row r="58">
      <c r="A58" t="inlineStr">
        <is>
          <t>2025-12-31</t>
        </is>
      </c>
      <c r="B58" t="inlineStr">
        <is>
          <t>BRO-P02</t>
        </is>
      </c>
      <c r="C58" t="n">
        <v>11</v>
      </c>
      <c r="D58" t="n">
        <v>0</v>
      </c>
      <c r="E58" t="n">
        <v>0</v>
      </c>
      <c r="F58" t="n">
        <v>520</v>
      </c>
      <c r="G58" t="inlineStr">
        <is>
          <t>Broiler starter</t>
        </is>
      </c>
      <c r="H58" t="n">
        <v>26.1</v>
      </c>
      <c r="I58" t="n">
        <v>46.9</v>
      </c>
      <c r="J58" t="n">
        <v>30.1</v>
      </c>
      <c r="K58" t="inlineStr">
        <is>
          <t>Dry</t>
        </is>
      </c>
      <c r="L58" t="n">
        <v>23</v>
      </c>
      <c r="M58" t="n">
        <v>0</v>
      </c>
      <c r="N58" t="n">
        <v>0</v>
      </c>
      <c r="O58" t="n">
        <v>0</v>
      </c>
      <c r="Q58" t="inlineStr">
        <is>
          <t>S02</t>
        </is>
      </c>
    </row>
    <row r="59">
      <c r="A59" t="inlineStr">
        <is>
          <t>2026-01-01</t>
        </is>
      </c>
      <c r="B59" t="inlineStr">
        <is>
          <t>BRO-P02</t>
        </is>
      </c>
      <c r="C59" t="n">
        <v>12</v>
      </c>
      <c r="D59" t="n">
        <v>0</v>
      </c>
      <c r="E59" t="n">
        <v>0</v>
      </c>
      <c r="F59" t="n">
        <v>520</v>
      </c>
      <c r="G59" t="inlineStr">
        <is>
          <t>Broiler starter</t>
        </is>
      </c>
      <c r="H59" t="n">
        <v>25.7</v>
      </c>
      <c r="I59" t="n">
        <v>43.2</v>
      </c>
      <c r="J59" t="n">
        <v>27.7</v>
      </c>
      <c r="K59" t="inlineStr">
        <is>
          <t>Dry</t>
        </is>
      </c>
      <c r="L59" t="n">
        <v>23</v>
      </c>
      <c r="M59" t="n">
        <v>0</v>
      </c>
      <c r="N59" t="n">
        <v>0</v>
      </c>
      <c r="O59" t="n">
        <v>0</v>
      </c>
      <c r="Q59" t="inlineStr">
        <is>
          <t>S02</t>
        </is>
      </c>
    </row>
    <row r="60">
      <c r="A60" t="inlineStr">
        <is>
          <t>2026-01-02</t>
        </is>
      </c>
      <c r="B60" t="inlineStr">
        <is>
          <t>BRO-P02</t>
        </is>
      </c>
      <c r="C60" t="n">
        <v>13</v>
      </c>
      <c r="D60" t="n">
        <v>0</v>
      </c>
      <c r="E60" t="n">
        <v>0</v>
      </c>
      <c r="F60" t="n">
        <v>520</v>
      </c>
      <c r="G60" t="inlineStr">
        <is>
          <t>Broiler starter</t>
        </is>
      </c>
      <c r="H60" t="n">
        <v>27.5</v>
      </c>
      <c r="I60" t="n">
        <v>49.9</v>
      </c>
      <c r="J60" t="n">
        <v>27</v>
      </c>
      <c r="K60" t="inlineStr">
        <is>
          <t>Dry</t>
        </is>
      </c>
      <c r="L60" t="n">
        <v>23</v>
      </c>
      <c r="M60" t="n">
        <v>0</v>
      </c>
      <c r="N60" t="n">
        <v>0</v>
      </c>
      <c r="O60" t="n">
        <v>0</v>
      </c>
      <c r="Q60" t="inlineStr">
        <is>
          <t>S02</t>
        </is>
      </c>
    </row>
    <row r="61">
      <c r="A61" t="inlineStr">
        <is>
          <t>2026-01-03</t>
        </is>
      </c>
      <c r="B61" t="inlineStr">
        <is>
          <t>BRO-P02</t>
        </is>
      </c>
      <c r="C61" t="n">
        <v>14</v>
      </c>
      <c r="D61" t="n">
        <v>0</v>
      </c>
      <c r="E61" t="n">
        <v>0</v>
      </c>
      <c r="F61" t="n">
        <v>520</v>
      </c>
      <c r="G61" t="inlineStr">
        <is>
          <t>Broiler starter</t>
        </is>
      </c>
      <c r="H61" t="n">
        <v>28.3</v>
      </c>
      <c r="I61" t="n">
        <v>49.2</v>
      </c>
      <c r="J61" t="n">
        <v>27.7</v>
      </c>
      <c r="K61" t="inlineStr">
        <is>
          <t>Dry</t>
        </is>
      </c>
      <c r="L61" t="n">
        <v>23</v>
      </c>
      <c r="M61" t="n">
        <v>0</v>
      </c>
      <c r="N61" t="n">
        <v>0</v>
      </c>
      <c r="O61" t="n">
        <v>0</v>
      </c>
      <c r="Q61" t="inlineStr">
        <is>
          <t>S02</t>
        </is>
      </c>
    </row>
    <row r="62">
      <c r="A62" t="inlineStr">
        <is>
          <t>2026-01-04</t>
        </is>
      </c>
      <c r="B62" t="inlineStr">
        <is>
          <t>BRO-P02</t>
        </is>
      </c>
      <c r="C62" t="n">
        <v>15</v>
      </c>
      <c r="D62" t="n">
        <v>0</v>
      </c>
      <c r="E62" t="n">
        <v>0</v>
      </c>
      <c r="F62" t="n">
        <v>520</v>
      </c>
      <c r="G62" t="inlineStr">
        <is>
          <t>Broiler starter</t>
        </is>
      </c>
      <c r="H62" t="n">
        <v>33.7</v>
      </c>
      <c r="I62" t="n">
        <v>65.40000000000001</v>
      </c>
      <c r="J62" t="n">
        <v>32</v>
      </c>
      <c r="K62" t="inlineStr">
        <is>
          <t>Dry</t>
        </is>
      </c>
      <c r="L62" t="n">
        <v>23</v>
      </c>
      <c r="M62" t="n">
        <v>0</v>
      </c>
      <c r="N62" t="n">
        <v>0</v>
      </c>
      <c r="O62" t="n">
        <v>0</v>
      </c>
      <c r="Q62" t="inlineStr">
        <is>
          <t>S02</t>
        </is>
      </c>
    </row>
    <row r="63">
      <c r="A63" t="inlineStr">
        <is>
          <t>2026-01-05</t>
        </is>
      </c>
      <c r="B63" t="inlineStr">
        <is>
          <t>BRO-P02</t>
        </is>
      </c>
      <c r="C63" t="n">
        <v>16</v>
      </c>
      <c r="D63" t="n">
        <v>0</v>
      </c>
      <c r="E63" t="n">
        <v>0</v>
      </c>
      <c r="F63" t="n">
        <v>520</v>
      </c>
      <c r="G63" t="inlineStr">
        <is>
          <t>Broiler starter</t>
        </is>
      </c>
      <c r="H63" t="n">
        <v>31.7</v>
      </c>
      <c r="I63" t="n">
        <v>62.6</v>
      </c>
      <c r="J63" t="n">
        <v>29.7</v>
      </c>
      <c r="K63" t="inlineStr">
        <is>
          <t>Dry</t>
        </is>
      </c>
      <c r="L63" t="n">
        <v>23</v>
      </c>
      <c r="M63" t="n">
        <v>0</v>
      </c>
      <c r="N63" t="n">
        <v>0</v>
      </c>
      <c r="O63" t="n">
        <v>0</v>
      </c>
      <c r="Q63" t="inlineStr">
        <is>
          <t>S02</t>
        </is>
      </c>
    </row>
    <row r="64">
      <c r="A64" t="inlineStr">
        <is>
          <t>2026-01-06</t>
        </is>
      </c>
      <c r="B64" t="inlineStr">
        <is>
          <t>BRO-P02</t>
        </is>
      </c>
      <c r="C64" t="n">
        <v>17</v>
      </c>
      <c r="D64" t="n">
        <v>0</v>
      </c>
      <c r="E64" t="n">
        <v>0</v>
      </c>
      <c r="F64" t="n">
        <v>520</v>
      </c>
      <c r="G64" t="inlineStr">
        <is>
          <t>Broiler starter</t>
        </is>
      </c>
      <c r="H64" t="n">
        <v>34.6</v>
      </c>
      <c r="I64" t="n">
        <v>59.6</v>
      </c>
      <c r="J64" t="n">
        <v>31.4</v>
      </c>
      <c r="K64" t="inlineStr">
        <is>
          <t>Dry</t>
        </is>
      </c>
      <c r="L64" t="n">
        <v>23</v>
      </c>
      <c r="M64" t="n">
        <v>0</v>
      </c>
      <c r="N64" t="n">
        <v>0</v>
      </c>
      <c r="O64" t="n">
        <v>0</v>
      </c>
      <c r="Q64" t="inlineStr">
        <is>
          <t>S02</t>
        </is>
      </c>
    </row>
    <row r="65">
      <c r="A65" t="inlineStr">
        <is>
          <t>2026-01-07</t>
        </is>
      </c>
      <c r="B65" t="inlineStr">
        <is>
          <t>BRO-P02</t>
        </is>
      </c>
      <c r="C65" t="n">
        <v>18</v>
      </c>
      <c r="D65" t="n">
        <v>0</v>
      </c>
      <c r="E65" t="n">
        <v>0</v>
      </c>
      <c r="F65" t="n">
        <v>520</v>
      </c>
      <c r="G65" t="inlineStr">
        <is>
          <t>Broiler starter</t>
        </is>
      </c>
      <c r="H65" t="n">
        <v>35</v>
      </c>
      <c r="I65" t="n">
        <v>59.7</v>
      </c>
      <c r="J65" t="n">
        <v>31.2</v>
      </c>
      <c r="K65" t="inlineStr">
        <is>
          <t>Dry</t>
        </is>
      </c>
      <c r="L65" t="n">
        <v>23</v>
      </c>
      <c r="M65" t="n">
        <v>0</v>
      </c>
      <c r="N65" t="n">
        <v>0</v>
      </c>
      <c r="O65" t="n">
        <v>0</v>
      </c>
      <c r="Q65" t="inlineStr">
        <is>
          <t>S02</t>
        </is>
      </c>
    </row>
    <row r="66">
      <c r="A66" t="inlineStr">
        <is>
          <t>2026-01-08</t>
        </is>
      </c>
      <c r="B66" t="inlineStr">
        <is>
          <t>BRO-P02</t>
        </is>
      </c>
      <c r="C66" t="n">
        <v>19</v>
      </c>
      <c r="D66" t="n">
        <v>11</v>
      </c>
      <c r="E66" t="n">
        <v>0</v>
      </c>
      <c r="F66" t="n">
        <v>509</v>
      </c>
      <c r="G66" t="inlineStr">
        <is>
          <t>Broiler starter</t>
        </is>
      </c>
      <c r="H66" t="n">
        <v>37.5</v>
      </c>
      <c r="I66" t="n">
        <v>66.59999999999999</v>
      </c>
      <c r="J66" t="n">
        <v>38.5</v>
      </c>
      <c r="K66" t="inlineStr">
        <is>
          <t>Damp</t>
        </is>
      </c>
      <c r="L66" t="n">
        <v>23</v>
      </c>
      <c r="M66" t="n">
        <v>0</v>
      </c>
      <c r="N66" t="n">
        <v>0</v>
      </c>
      <c r="O66" t="n">
        <v>0</v>
      </c>
      <c r="P66" t="inlineStr">
        <is>
          <t>Heat stress - panting, high water intake, elevated mortality</t>
        </is>
      </c>
      <c r="Q66" t="inlineStr">
        <is>
          <t>S02</t>
        </is>
      </c>
    </row>
    <row r="67">
      <c r="A67" t="inlineStr">
        <is>
          <t>2026-01-09</t>
        </is>
      </c>
      <c r="B67" t="inlineStr">
        <is>
          <t>BRO-P02</t>
        </is>
      </c>
      <c r="C67" t="n">
        <v>20</v>
      </c>
      <c r="D67" t="n">
        <v>7</v>
      </c>
      <c r="E67" t="n">
        <v>0</v>
      </c>
      <c r="F67" t="n">
        <v>502</v>
      </c>
      <c r="G67" t="inlineStr">
        <is>
          <t>Broiler starter</t>
        </is>
      </c>
      <c r="H67" t="n">
        <v>39.4</v>
      </c>
      <c r="I67" t="n">
        <v>65.3</v>
      </c>
      <c r="J67" t="n">
        <v>37.1</v>
      </c>
      <c r="K67" t="inlineStr">
        <is>
          <t>Damp</t>
        </is>
      </c>
      <c r="L67" t="n">
        <v>23</v>
      </c>
      <c r="M67" t="n">
        <v>0</v>
      </c>
      <c r="N67" t="n">
        <v>0</v>
      </c>
      <c r="O67" t="n">
        <v>0</v>
      </c>
      <c r="P67" t="inlineStr">
        <is>
          <t>Heat stress - panting, high water intake, elevated mortality</t>
        </is>
      </c>
      <c r="Q67" t="inlineStr">
        <is>
          <t>S02</t>
        </is>
      </c>
    </row>
    <row r="68">
      <c r="A68" t="inlineStr">
        <is>
          <t>2026-01-10</t>
        </is>
      </c>
      <c r="B68" t="inlineStr">
        <is>
          <t>BRO-P02</t>
        </is>
      </c>
      <c r="C68" t="n">
        <v>21</v>
      </c>
      <c r="D68" t="n">
        <v>6</v>
      </c>
      <c r="E68" t="n">
        <v>0</v>
      </c>
      <c r="F68" t="n">
        <v>496</v>
      </c>
      <c r="G68" t="inlineStr">
        <is>
          <t>Broiler starter</t>
        </is>
      </c>
      <c r="H68" t="n">
        <v>38.3</v>
      </c>
      <c r="I68" t="n">
        <v>73.5</v>
      </c>
      <c r="J68" t="n">
        <v>36.7</v>
      </c>
      <c r="K68" t="inlineStr">
        <is>
          <t>Damp</t>
        </is>
      </c>
      <c r="L68" t="n">
        <v>23</v>
      </c>
      <c r="M68" t="n">
        <v>0</v>
      </c>
      <c r="N68" t="n">
        <v>0</v>
      </c>
      <c r="O68" t="n">
        <v>0</v>
      </c>
      <c r="P68" t="inlineStr">
        <is>
          <t>Heat stress - panting, high water intake, elevated mortality</t>
        </is>
      </c>
      <c r="Q68" t="inlineStr">
        <is>
          <t>S02</t>
        </is>
      </c>
    </row>
    <row r="69">
      <c r="A69" t="inlineStr">
        <is>
          <t>2026-01-11</t>
        </is>
      </c>
      <c r="B69" t="inlineStr">
        <is>
          <t>BRO-P02</t>
        </is>
      </c>
      <c r="C69" t="n">
        <v>22</v>
      </c>
      <c r="D69" t="n">
        <v>7</v>
      </c>
      <c r="E69" t="n">
        <v>0</v>
      </c>
      <c r="F69" t="n">
        <v>489</v>
      </c>
      <c r="G69" t="inlineStr">
        <is>
          <t>Broiler starter</t>
        </is>
      </c>
      <c r="H69" t="n">
        <v>39.3</v>
      </c>
      <c r="I69" t="n">
        <v>78.8</v>
      </c>
      <c r="J69" t="n">
        <v>37.5</v>
      </c>
      <c r="K69" t="inlineStr">
        <is>
          <t>Damp</t>
        </is>
      </c>
      <c r="M69" t="n">
        <v>0</v>
      </c>
      <c r="N69" t="n">
        <v>0</v>
      </c>
      <c r="O69" t="n">
        <v>0</v>
      </c>
      <c r="P69" t="inlineStr">
        <is>
          <t>Heat stress - panting, high water intake, elevated mortality</t>
        </is>
      </c>
      <c r="Q69" t="inlineStr">
        <is>
          <t>S02</t>
        </is>
      </c>
    </row>
    <row r="70">
      <c r="A70" t="inlineStr">
        <is>
          <t>2026-01-12</t>
        </is>
      </c>
      <c r="B70" t="inlineStr">
        <is>
          <t>BRO-P02</t>
        </is>
      </c>
      <c r="C70" t="n">
        <v>23</v>
      </c>
      <c r="D70" t="n">
        <v>11</v>
      </c>
      <c r="E70" t="n">
        <v>0</v>
      </c>
      <c r="F70" t="n">
        <v>478</v>
      </c>
      <c r="G70" t="inlineStr">
        <is>
          <t>Broiler starter</t>
        </is>
      </c>
      <c r="H70" t="n">
        <v>35.5</v>
      </c>
      <c r="I70" t="n">
        <v>63.3</v>
      </c>
      <c r="J70" t="n">
        <v>35.5</v>
      </c>
      <c r="K70" t="inlineStr">
        <is>
          <t>Damp</t>
        </is>
      </c>
      <c r="M70" t="n">
        <v>0</v>
      </c>
      <c r="N70" t="n">
        <v>0</v>
      </c>
      <c r="O70" t="n">
        <v>0</v>
      </c>
      <c r="P70" t="inlineStr">
        <is>
          <t>Heat stress - panting, high water intake, elevated mortality</t>
        </is>
      </c>
      <c r="Q70" t="inlineStr">
        <is>
          <t>S02</t>
        </is>
      </c>
    </row>
    <row r="71">
      <c r="A71" t="inlineStr">
        <is>
          <t>2026-01-13</t>
        </is>
      </c>
      <c r="B71" t="inlineStr">
        <is>
          <t>BRO-P02</t>
        </is>
      </c>
      <c r="C71" t="n">
        <v>24</v>
      </c>
      <c r="D71" t="n">
        <v>0</v>
      </c>
      <c r="E71" t="n">
        <v>0</v>
      </c>
      <c r="F71" t="n">
        <v>478</v>
      </c>
      <c r="G71" t="inlineStr">
        <is>
          <t>Broiler grower</t>
        </is>
      </c>
      <c r="H71" t="n">
        <v>39.8</v>
      </c>
      <c r="I71" t="n">
        <v>72.90000000000001</v>
      </c>
      <c r="J71" t="n">
        <v>24.6</v>
      </c>
      <c r="K71" t="inlineStr">
        <is>
          <t>Dry</t>
        </is>
      </c>
      <c r="M71" t="n">
        <v>0</v>
      </c>
      <c r="N71" t="n">
        <v>0</v>
      </c>
      <c r="O71" t="n">
        <v>0</v>
      </c>
      <c r="Q71" t="inlineStr">
        <is>
          <t>S02</t>
        </is>
      </c>
    </row>
    <row r="72">
      <c r="A72" t="inlineStr">
        <is>
          <t>2026-01-14</t>
        </is>
      </c>
      <c r="B72" t="inlineStr">
        <is>
          <t>BRO-P02</t>
        </is>
      </c>
      <c r="C72" t="n">
        <v>25</v>
      </c>
      <c r="D72" t="n">
        <v>0</v>
      </c>
      <c r="E72" t="n">
        <v>0</v>
      </c>
      <c r="F72" t="n">
        <v>478</v>
      </c>
      <c r="G72" t="inlineStr">
        <is>
          <t>Broiler grower</t>
        </is>
      </c>
      <c r="H72" t="n">
        <v>41.7</v>
      </c>
      <c r="I72" t="n">
        <v>73.90000000000001</v>
      </c>
      <c r="J72" t="n">
        <v>23.5</v>
      </c>
      <c r="K72" t="inlineStr">
        <is>
          <t>Dry</t>
        </is>
      </c>
      <c r="M72" t="n">
        <v>0</v>
      </c>
      <c r="N72" t="n">
        <v>0</v>
      </c>
      <c r="O72" t="n">
        <v>0</v>
      </c>
      <c r="Q72" t="inlineStr">
        <is>
          <t>S02</t>
        </is>
      </c>
    </row>
    <row r="73">
      <c r="A73" t="inlineStr">
        <is>
          <t>2026-01-15</t>
        </is>
      </c>
      <c r="B73" t="inlineStr">
        <is>
          <t>BRO-P02</t>
        </is>
      </c>
      <c r="C73" t="n">
        <v>26</v>
      </c>
      <c r="D73" t="n">
        <v>0</v>
      </c>
      <c r="E73" t="n">
        <v>0</v>
      </c>
      <c r="F73" t="n">
        <v>478</v>
      </c>
      <c r="G73" t="inlineStr">
        <is>
          <t>Broiler grower</t>
        </is>
      </c>
      <c r="H73" t="n">
        <v>43.1</v>
      </c>
      <c r="I73" t="n">
        <v>79.8</v>
      </c>
      <c r="J73" t="n">
        <v>27.3</v>
      </c>
      <c r="K73" t="inlineStr">
        <is>
          <t>Dry</t>
        </is>
      </c>
      <c r="M73" t="n">
        <v>0</v>
      </c>
      <c r="N73" t="n">
        <v>0</v>
      </c>
      <c r="O73" t="n">
        <v>0</v>
      </c>
      <c r="Q73" t="inlineStr">
        <is>
          <t>S02</t>
        </is>
      </c>
    </row>
    <row r="74">
      <c r="A74" t="inlineStr">
        <is>
          <t>2026-01-16</t>
        </is>
      </c>
      <c r="B74" t="inlineStr">
        <is>
          <t>BRO-P02</t>
        </is>
      </c>
      <c r="C74" t="n">
        <v>27</v>
      </c>
      <c r="D74" t="n">
        <v>0</v>
      </c>
      <c r="E74" t="n">
        <v>0</v>
      </c>
      <c r="F74" t="n">
        <v>478</v>
      </c>
      <c r="G74" t="inlineStr">
        <is>
          <t>Broiler grower</t>
        </is>
      </c>
      <c r="H74" t="n">
        <v>39.4</v>
      </c>
      <c r="I74" t="n">
        <v>78.2</v>
      </c>
      <c r="J74" t="n">
        <v>24</v>
      </c>
      <c r="K74" t="inlineStr">
        <is>
          <t>Dry</t>
        </is>
      </c>
      <c r="M74" t="n">
        <v>0</v>
      </c>
      <c r="N74" t="n">
        <v>0</v>
      </c>
      <c r="O74" t="n">
        <v>0</v>
      </c>
      <c r="Q74" t="inlineStr">
        <is>
          <t>S02</t>
        </is>
      </c>
    </row>
    <row r="75">
      <c r="A75" t="inlineStr">
        <is>
          <t>2026-01-17</t>
        </is>
      </c>
      <c r="B75" t="inlineStr">
        <is>
          <t>BRO-P02</t>
        </is>
      </c>
      <c r="C75" t="n">
        <v>28</v>
      </c>
      <c r="D75" t="n">
        <v>0</v>
      </c>
      <c r="E75" t="n">
        <v>0</v>
      </c>
      <c r="F75" t="n">
        <v>478</v>
      </c>
      <c r="G75" t="inlineStr">
        <is>
          <t>Broiler grower</t>
        </is>
      </c>
      <c r="H75" t="n">
        <v>40.7</v>
      </c>
      <c r="I75" t="n">
        <v>77.90000000000001</v>
      </c>
      <c r="J75" t="n">
        <v>25.7</v>
      </c>
      <c r="K75" t="inlineStr">
        <is>
          <t>Dry</t>
        </is>
      </c>
      <c r="M75" t="n">
        <v>0</v>
      </c>
      <c r="N75" t="n">
        <v>0</v>
      </c>
      <c r="O75" t="n">
        <v>0</v>
      </c>
      <c r="Q75" t="inlineStr">
        <is>
          <t>S02</t>
        </is>
      </c>
    </row>
    <row r="76">
      <c r="A76" t="inlineStr">
        <is>
          <t>2026-01-18</t>
        </is>
      </c>
      <c r="B76" t="inlineStr">
        <is>
          <t>BRO-P02</t>
        </is>
      </c>
      <c r="C76" t="n">
        <v>29</v>
      </c>
      <c r="D76" t="n">
        <v>0</v>
      </c>
      <c r="E76" t="n">
        <v>0</v>
      </c>
      <c r="F76" t="n">
        <v>478</v>
      </c>
      <c r="G76" t="inlineStr">
        <is>
          <t>Broiler grower</t>
        </is>
      </c>
      <c r="H76" t="n">
        <v>45.4</v>
      </c>
      <c r="I76" t="n">
        <v>82.40000000000001</v>
      </c>
      <c r="J76" t="n">
        <v>24.1</v>
      </c>
      <c r="K76" t="inlineStr">
        <is>
          <t>Dry</t>
        </is>
      </c>
      <c r="M76" t="n">
        <v>0</v>
      </c>
      <c r="N76" t="n">
        <v>0</v>
      </c>
      <c r="O76" t="n">
        <v>0</v>
      </c>
      <c r="Q76" t="inlineStr">
        <is>
          <t>S02</t>
        </is>
      </c>
    </row>
    <row r="77">
      <c r="A77" t="inlineStr">
        <is>
          <t>2026-01-19</t>
        </is>
      </c>
      <c r="B77" t="inlineStr">
        <is>
          <t>BRO-P02</t>
        </is>
      </c>
      <c r="C77" t="n">
        <v>30</v>
      </c>
      <c r="D77" t="n">
        <v>0</v>
      </c>
      <c r="E77" t="n">
        <v>0</v>
      </c>
      <c r="F77" t="n">
        <v>478</v>
      </c>
      <c r="G77" t="inlineStr">
        <is>
          <t>Broiler grower</t>
        </is>
      </c>
      <c r="H77" t="n">
        <v>47.3</v>
      </c>
      <c r="I77" t="n">
        <v>94.5</v>
      </c>
      <c r="J77" t="n">
        <v>24.1</v>
      </c>
      <c r="K77" t="inlineStr">
        <is>
          <t>Dry</t>
        </is>
      </c>
      <c r="M77" t="n">
        <v>0</v>
      </c>
      <c r="N77" t="n">
        <v>0</v>
      </c>
      <c r="O77" t="n">
        <v>0</v>
      </c>
      <c r="Q77" t="inlineStr">
        <is>
          <t>S02</t>
        </is>
      </c>
    </row>
    <row r="78">
      <c r="A78" t="inlineStr">
        <is>
          <t>2026-01-20</t>
        </is>
      </c>
      <c r="B78" t="inlineStr">
        <is>
          <t>BRO-P02</t>
        </is>
      </c>
      <c r="C78" t="n">
        <v>31</v>
      </c>
      <c r="D78" t="n">
        <v>0</v>
      </c>
      <c r="E78" t="n">
        <v>0</v>
      </c>
      <c r="F78" t="n">
        <v>478</v>
      </c>
      <c r="G78" t="inlineStr">
        <is>
          <t>Broiler grower</t>
        </is>
      </c>
      <c r="H78" t="n">
        <v>50.9</v>
      </c>
      <c r="I78" t="n">
        <v>96.7</v>
      </c>
      <c r="J78" t="n">
        <v>25.3</v>
      </c>
      <c r="K78" t="inlineStr">
        <is>
          <t>Dry</t>
        </is>
      </c>
      <c r="M78" t="n">
        <v>0</v>
      </c>
      <c r="N78" t="n">
        <v>0</v>
      </c>
      <c r="O78" t="n">
        <v>0</v>
      </c>
      <c r="Q78" t="inlineStr">
        <is>
          <t>S02</t>
        </is>
      </c>
    </row>
    <row r="79">
      <c r="A79" t="inlineStr">
        <is>
          <t>2026-01-21</t>
        </is>
      </c>
      <c r="B79" t="inlineStr">
        <is>
          <t>BRO-P02</t>
        </is>
      </c>
      <c r="C79" t="n">
        <v>32</v>
      </c>
      <c r="D79" t="n">
        <v>0</v>
      </c>
      <c r="E79" t="n">
        <v>0</v>
      </c>
      <c r="F79" t="n">
        <v>478</v>
      </c>
      <c r="G79" t="inlineStr">
        <is>
          <t>Broiler grower</t>
        </is>
      </c>
      <c r="H79" t="n">
        <v>49.9</v>
      </c>
      <c r="I79" t="n">
        <v>81.7</v>
      </c>
      <c r="J79" t="n">
        <v>23.4</v>
      </c>
      <c r="K79" t="inlineStr">
        <is>
          <t>Dry</t>
        </is>
      </c>
      <c r="M79" t="n">
        <v>0</v>
      </c>
      <c r="N79" t="n">
        <v>0</v>
      </c>
      <c r="O79" t="n">
        <v>0</v>
      </c>
      <c r="Q79" t="inlineStr">
        <is>
          <t>S02</t>
        </is>
      </c>
    </row>
    <row r="80">
      <c r="A80" t="inlineStr">
        <is>
          <t>2026-01-22</t>
        </is>
      </c>
      <c r="B80" t="inlineStr">
        <is>
          <t>BRO-P02</t>
        </is>
      </c>
      <c r="C80" t="n">
        <v>33</v>
      </c>
      <c r="D80" t="n">
        <v>0</v>
      </c>
      <c r="E80" t="n">
        <v>0</v>
      </c>
      <c r="F80" t="n">
        <v>478</v>
      </c>
      <c r="G80" t="inlineStr">
        <is>
          <t>Broiler grower</t>
        </is>
      </c>
      <c r="H80" t="n">
        <v>55.1</v>
      </c>
      <c r="I80" t="n">
        <v>94.5</v>
      </c>
      <c r="J80" t="n">
        <v>27.3</v>
      </c>
      <c r="K80" t="inlineStr">
        <is>
          <t>Dry</t>
        </is>
      </c>
      <c r="M80" t="n">
        <v>0</v>
      </c>
      <c r="N80" t="n">
        <v>0</v>
      </c>
      <c r="O80" t="n">
        <v>0</v>
      </c>
      <c r="Q80" t="inlineStr">
        <is>
          <t>S02</t>
        </is>
      </c>
    </row>
    <row r="81">
      <c r="A81" t="inlineStr">
        <is>
          <t>2026-01-23</t>
        </is>
      </c>
      <c r="B81" t="inlineStr">
        <is>
          <t>BRO-P02</t>
        </is>
      </c>
      <c r="C81" t="n">
        <v>34</v>
      </c>
      <c r="D81" t="n">
        <v>0</v>
      </c>
      <c r="E81" t="n">
        <v>0</v>
      </c>
      <c r="F81" t="n">
        <v>478</v>
      </c>
      <c r="G81" t="inlineStr">
        <is>
          <t>Broiler grower</t>
        </is>
      </c>
      <c r="H81" t="n">
        <v>50.9</v>
      </c>
      <c r="I81" t="n">
        <v>94.8</v>
      </c>
      <c r="J81" t="n">
        <v>26.1</v>
      </c>
      <c r="K81" t="inlineStr">
        <is>
          <t>Dry</t>
        </is>
      </c>
      <c r="M81" t="n">
        <v>0</v>
      </c>
      <c r="N81" t="n">
        <v>0</v>
      </c>
      <c r="O81" t="n">
        <v>0</v>
      </c>
      <c r="Q81" t="inlineStr">
        <is>
          <t>S02</t>
        </is>
      </c>
    </row>
    <row r="82">
      <c r="A82" t="inlineStr">
        <is>
          <t>2026-01-24</t>
        </is>
      </c>
      <c r="B82" t="inlineStr">
        <is>
          <t>BRO-P02</t>
        </is>
      </c>
      <c r="C82" t="n">
        <v>35</v>
      </c>
      <c r="D82" t="n">
        <v>0</v>
      </c>
      <c r="E82" t="n">
        <v>0</v>
      </c>
      <c r="F82" t="n">
        <v>478</v>
      </c>
      <c r="G82" t="inlineStr">
        <is>
          <t>Broiler finisher</t>
        </is>
      </c>
      <c r="H82" t="n">
        <v>56.6</v>
      </c>
      <c r="I82" t="n">
        <v>94.40000000000001</v>
      </c>
      <c r="J82" t="n">
        <v>24.3</v>
      </c>
      <c r="K82" t="inlineStr">
        <is>
          <t>Dry</t>
        </is>
      </c>
      <c r="M82" t="n">
        <v>0</v>
      </c>
      <c r="N82" t="n">
        <v>0</v>
      </c>
      <c r="O82" t="n">
        <v>0</v>
      </c>
      <c r="Q82" t="inlineStr">
        <is>
          <t>S02</t>
        </is>
      </c>
    </row>
    <row r="83">
      <c r="A83" t="inlineStr">
        <is>
          <t>2026-01-25</t>
        </is>
      </c>
      <c r="B83" t="inlineStr">
        <is>
          <t>BRO-P02</t>
        </is>
      </c>
      <c r="C83" t="n">
        <v>36</v>
      </c>
      <c r="D83" t="n">
        <v>0</v>
      </c>
      <c r="E83" t="n">
        <v>0</v>
      </c>
      <c r="F83" t="n">
        <v>478</v>
      </c>
      <c r="G83" t="inlineStr">
        <is>
          <t>Broiler finisher</t>
        </is>
      </c>
      <c r="H83" t="n">
        <v>58.1</v>
      </c>
      <c r="I83" t="n">
        <v>115.4</v>
      </c>
      <c r="J83" t="n">
        <v>28.6</v>
      </c>
      <c r="K83" t="inlineStr">
        <is>
          <t>Dry</t>
        </is>
      </c>
      <c r="M83" t="n">
        <v>0</v>
      </c>
      <c r="N83" t="n">
        <v>0</v>
      </c>
      <c r="O83" t="n">
        <v>0</v>
      </c>
      <c r="Q83" t="inlineStr">
        <is>
          <t>S02</t>
        </is>
      </c>
    </row>
    <row r="84">
      <c r="A84" t="inlineStr">
        <is>
          <t>2026-01-26</t>
        </is>
      </c>
      <c r="B84" t="inlineStr">
        <is>
          <t>BRO-P02</t>
        </is>
      </c>
      <c r="C84" t="n">
        <v>37</v>
      </c>
      <c r="D84" t="n">
        <v>0</v>
      </c>
      <c r="E84" t="n">
        <v>0</v>
      </c>
      <c r="F84" t="n">
        <v>478</v>
      </c>
      <c r="G84" t="inlineStr">
        <is>
          <t>Broiler finisher</t>
        </is>
      </c>
      <c r="H84" t="n">
        <v>53.2</v>
      </c>
      <c r="I84" t="n">
        <v>85.8</v>
      </c>
      <c r="J84" t="n">
        <v>23.9</v>
      </c>
      <c r="K84" t="inlineStr">
        <is>
          <t>Dry</t>
        </is>
      </c>
      <c r="M84" t="n">
        <v>0</v>
      </c>
      <c r="N84" t="n">
        <v>0</v>
      </c>
      <c r="O84" t="n">
        <v>0</v>
      </c>
      <c r="Q84" t="inlineStr">
        <is>
          <t>S02</t>
        </is>
      </c>
    </row>
    <row r="85">
      <c r="A85" t="inlineStr">
        <is>
          <t>2026-01-27</t>
        </is>
      </c>
      <c r="B85" t="inlineStr">
        <is>
          <t>BRO-P02</t>
        </is>
      </c>
      <c r="C85" t="n">
        <v>38</v>
      </c>
      <c r="D85" t="n">
        <v>0</v>
      </c>
      <c r="E85" t="n">
        <v>0</v>
      </c>
      <c r="F85" t="n">
        <v>478</v>
      </c>
      <c r="G85" t="inlineStr">
        <is>
          <t>Broiler finisher</t>
        </is>
      </c>
      <c r="H85" t="n">
        <v>54.9</v>
      </c>
      <c r="I85" t="n">
        <v>90</v>
      </c>
      <c r="J85" t="n">
        <v>26.8</v>
      </c>
      <c r="K85" t="inlineStr">
        <is>
          <t>Dry</t>
        </is>
      </c>
      <c r="M85" t="n">
        <v>0</v>
      </c>
      <c r="N85" t="n">
        <v>0</v>
      </c>
      <c r="O85" t="n">
        <v>0</v>
      </c>
      <c r="Q85" t="inlineStr">
        <is>
          <t>S02</t>
        </is>
      </c>
    </row>
    <row r="86">
      <c r="A86" t="inlineStr">
        <is>
          <t>2026-01-28</t>
        </is>
      </c>
      <c r="B86" t="inlineStr">
        <is>
          <t>BRO-P02</t>
        </is>
      </c>
      <c r="C86" t="n">
        <v>39</v>
      </c>
      <c r="D86" t="n">
        <v>0</v>
      </c>
      <c r="E86" t="n">
        <v>0</v>
      </c>
      <c r="F86" t="n">
        <v>478</v>
      </c>
      <c r="G86" t="inlineStr">
        <is>
          <t>Broiler finisher</t>
        </is>
      </c>
      <c r="H86" t="n">
        <v>62.7</v>
      </c>
      <c r="I86" t="n">
        <v>107.9</v>
      </c>
      <c r="J86" t="n">
        <v>25.7</v>
      </c>
      <c r="K86" t="inlineStr">
        <is>
          <t>Dry</t>
        </is>
      </c>
      <c r="M86" t="n">
        <v>0</v>
      </c>
      <c r="N86" t="n">
        <v>0</v>
      </c>
      <c r="O86" t="n">
        <v>0</v>
      </c>
      <c r="Q86" t="inlineStr">
        <is>
          <t>S02</t>
        </is>
      </c>
    </row>
    <row r="87">
      <c r="A87" t="inlineStr">
        <is>
          <t>2026-01-29</t>
        </is>
      </c>
      <c r="B87" t="inlineStr">
        <is>
          <t>BRO-P02</t>
        </is>
      </c>
      <c r="C87" t="n">
        <v>40</v>
      </c>
      <c r="D87" t="n">
        <v>0</v>
      </c>
      <c r="E87" t="n">
        <v>0</v>
      </c>
      <c r="F87" t="n">
        <v>478</v>
      </c>
      <c r="G87" t="inlineStr">
        <is>
          <t>Broiler finisher</t>
        </is>
      </c>
      <c r="H87" t="n">
        <v>60.3</v>
      </c>
      <c r="I87" t="n">
        <v>110.2</v>
      </c>
      <c r="J87" t="n">
        <v>25.3</v>
      </c>
      <c r="K87" t="inlineStr">
        <is>
          <t>Dry</t>
        </is>
      </c>
      <c r="M87" t="n">
        <v>0</v>
      </c>
      <c r="N87" t="n">
        <v>0</v>
      </c>
      <c r="O87" t="n">
        <v>0</v>
      </c>
      <c r="Q87" t="inlineStr">
        <is>
          <t>S02</t>
        </is>
      </c>
    </row>
    <row r="88">
      <c r="A88" t="inlineStr">
        <is>
          <t>2026-01-30</t>
        </is>
      </c>
      <c r="B88" t="inlineStr">
        <is>
          <t>BRO-P02</t>
        </is>
      </c>
      <c r="C88" t="n">
        <v>41</v>
      </c>
      <c r="D88" t="n">
        <v>0</v>
      </c>
      <c r="E88" t="n">
        <v>0</v>
      </c>
      <c r="F88" t="n">
        <v>478</v>
      </c>
      <c r="G88" t="inlineStr">
        <is>
          <t>Broiler finisher</t>
        </is>
      </c>
      <c r="H88" t="n">
        <v>54.5</v>
      </c>
      <c r="I88" t="n">
        <v>92.09999999999999</v>
      </c>
      <c r="J88" t="n">
        <v>24.6</v>
      </c>
      <c r="K88" t="inlineStr">
        <is>
          <t>Dry</t>
        </is>
      </c>
      <c r="M88" t="n">
        <v>0</v>
      </c>
      <c r="N88" t="n">
        <v>0</v>
      </c>
      <c r="O88" t="n">
        <v>0</v>
      </c>
      <c r="Q88" t="inlineStr">
        <is>
          <t>S02</t>
        </is>
      </c>
    </row>
    <row r="89">
      <c r="A89" t="inlineStr">
        <is>
          <t>2026-01-31</t>
        </is>
      </c>
      <c r="B89" t="inlineStr">
        <is>
          <t>BRO-P02</t>
        </is>
      </c>
      <c r="C89" t="n">
        <v>42</v>
      </c>
      <c r="D89" t="n">
        <v>0</v>
      </c>
      <c r="E89" t="n">
        <v>0</v>
      </c>
      <c r="F89" t="n">
        <v>478</v>
      </c>
      <c r="G89" t="inlineStr">
        <is>
          <t>Broiler finisher</t>
        </is>
      </c>
      <c r="H89" t="n">
        <v>66</v>
      </c>
      <c r="I89" t="n">
        <v>108.4</v>
      </c>
      <c r="J89" t="n">
        <v>27.2</v>
      </c>
      <c r="K89" t="inlineStr">
        <is>
          <t>Dry</t>
        </is>
      </c>
      <c r="M89" t="n">
        <v>0</v>
      </c>
      <c r="N89" t="n">
        <v>0</v>
      </c>
      <c r="O89" t="n">
        <v>0</v>
      </c>
      <c r="Q89" t="inlineStr">
        <is>
          <t>S02</t>
        </is>
      </c>
    </row>
    <row r="90">
      <c r="A90" t="inlineStr">
        <is>
          <t>2026-03-05</t>
        </is>
      </c>
      <c r="B90" t="inlineStr">
        <is>
          <t>BRO-P03</t>
        </is>
      </c>
      <c r="C90" t="n">
        <v>0</v>
      </c>
      <c r="D90" t="n">
        <v>0</v>
      </c>
      <c r="E90" t="n">
        <v>0</v>
      </c>
      <c r="F90" t="n">
        <v>500</v>
      </c>
      <c r="G90" t="inlineStr">
        <is>
          <t>Chick mash</t>
        </is>
      </c>
      <c r="H90" t="n">
        <v>9.9</v>
      </c>
      <c r="I90" t="n">
        <v>17.2</v>
      </c>
      <c r="J90" t="n">
        <v>29.8</v>
      </c>
      <c r="K90" t="inlineStr">
        <is>
          <t>Dry</t>
        </is>
      </c>
      <c r="L90" t="n">
        <v>23</v>
      </c>
      <c r="M90" t="n">
        <v>0</v>
      </c>
      <c r="N90" t="n">
        <v>0</v>
      </c>
      <c r="O90" t="n">
        <v>0</v>
      </c>
      <c r="Q90" t="inlineStr">
        <is>
          <t>S02</t>
        </is>
      </c>
    </row>
    <row r="91">
      <c r="A91" t="inlineStr">
        <is>
          <t>2026-03-06</t>
        </is>
      </c>
      <c r="B91" t="inlineStr">
        <is>
          <t>BRO-P03</t>
        </is>
      </c>
      <c r="C91" t="n">
        <v>1</v>
      </c>
      <c r="D91" t="n">
        <v>0</v>
      </c>
      <c r="E91" t="n">
        <v>0</v>
      </c>
      <c r="F91" t="n">
        <v>500</v>
      </c>
      <c r="G91" t="inlineStr">
        <is>
          <t>Chick mash</t>
        </is>
      </c>
      <c r="H91" t="n">
        <v>10.6</v>
      </c>
      <c r="I91" t="n">
        <v>19.6</v>
      </c>
      <c r="J91" t="n">
        <v>33</v>
      </c>
      <c r="K91" t="inlineStr">
        <is>
          <t>Dry</t>
        </is>
      </c>
      <c r="L91" t="n">
        <v>23</v>
      </c>
      <c r="M91" t="n">
        <v>0</v>
      </c>
      <c r="N91" t="n">
        <v>0</v>
      </c>
      <c r="O91" t="n">
        <v>0</v>
      </c>
      <c r="Q91" t="inlineStr">
        <is>
          <t>S02</t>
        </is>
      </c>
    </row>
    <row r="92">
      <c r="A92" t="inlineStr">
        <is>
          <t>2026-03-07</t>
        </is>
      </c>
      <c r="B92" t="inlineStr">
        <is>
          <t>BRO-P03</t>
        </is>
      </c>
      <c r="C92" t="n">
        <v>2</v>
      </c>
      <c r="D92" t="n">
        <v>0</v>
      </c>
      <c r="E92" t="n">
        <v>0</v>
      </c>
      <c r="F92" t="n">
        <v>500</v>
      </c>
      <c r="G92" t="inlineStr">
        <is>
          <t>Chick mash</t>
        </is>
      </c>
      <c r="H92" t="n">
        <v>11.7</v>
      </c>
      <c r="I92" t="n">
        <v>21.3</v>
      </c>
      <c r="J92" t="n">
        <v>29.3</v>
      </c>
      <c r="K92" t="inlineStr">
        <is>
          <t>Dry</t>
        </is>
      </c>
      <c r="L92" t="n">
        <v>23</v>
      </c>
      <c r="M92" t="n">
        <v>0</v>
      </c>
      <c r="N92" t="n">
        <v>0</v>
      </c>
      <c r="O92" t="n">
        <v>0</v>
      </c>
      <c r="Q92" t="inlineStr">
        <is>
          <t>S02</t>
        </is>
      </c>
    </row>
    <row r="93">
      <c r="A93" t="inlineStr">
        <is>
          <t>2026-03-08</t>
        </is>
      </c>
      <c r="B93" t="inlineStr">
        <is>
          <t>BRO-P03</t>
        </is>
      </c>
      <c r="C93" t="n">
        <v>3</v>
      </c>
      <c r="D93" t="n">
        <v>0</v>
      </c>
      <c r="E93" t="n">
        <v>0</v>
      </c>
      <c r="F93" t="n">
        <v>500</v>
      </c>
      <c r="G93" t="inlineStr">
        <is>
          <t>Chick mash</t>
        </is>
      </c>
      <c r="H93" t="n">
        <v>12.7</v>
      </c>
      <c r="I93" t="n">
        <v>20.5</v>
      </c>
      <c r="J93" t="n">
        <v>27.7</v>
      </c>
      <c r="K93" t="inlineStr">
        <is>
          <t>Dry</t>
        </is>
      </c>
      <c r="L93" t="n">
        <v>23</v>
      </c>
      <c r="M93" t="n">
        <v>0</v>
      </c>
      <c r="N93" t="n">
        <v>0</v>
      </c>
      <c r="O93" t="n">
        <v>0</v>
      </c>
      <c r="Q93" t="inlineStr">
        <is>
          <t>S02</t>
        </is>
      </c>
    </row>
    <row r="94">
      <c r="A94" t="inlineStr">
        <is>
          <t>2026-03-09</t>
        </is>
      </c>
      <c r="B94" t="inlineStr">
        <is>
          <t>BRO-P03</t>
        </is>
      </c>
      <c r="C94" t="n">
        <v>4</v>
      </c>
      <c r="D94" t="n">
        <v>0</v>
      </c>
      <c r="E94" t="n">
        <v>0</v>
      </c>
      <c r="F94" t="n">
        <v>500</v>
      </c>
      <c r="G94" t="inlineStr">
        <is>
          <t>Chick mash</t>
        </is>
      </c>
      <c r="H94" t="n">
        <v>13.8</v>
      </c>
      <c r="I94" t="n">
        <v>25.3</v>
      </c>
      <c r="J94" t="n">
        <v>29.9</v>
      </c>
      <c r="K94" t="inlineStr">
        <is>
          <t>Dry</t>
        </is>
      </c>
      <c r="L94" t="n">
        <v>23</v>
      </c>
      <c r="M94" t="n">
        <v>0</v>
      </c>
      <c r="N94" t="n">
        <v>0</v>
      </c>
      <c r="O94" t="n">
        <v>0</v>
      </c>
      <c r="Q94" t="inlineStr">
        <is>
          <t>S02</t>
        </is>
      </c>
    </row>
    <row r="95">
      <c r="A95" t="inlineStr">
        <is>
          <t>2026-03-10</t>
        </is>
      </c>
      <c r="B95" t="inlineStr">
        <is>
          <t>BRO-P03</t>
        </is>
      </c>
      <c r="C95" t="n">
        <v>5</v>
      </c>
      <c r="D95" t="n">
        <v>0</v>
      </c>
      <c r="E95" t="n">
        <v>0</v>
      </c>
      <c r="F95" t="n">
        <v>500</v>
      </c>
      <c r="G95" t="inlineStr">
        <is>
          <t>Chick mash</t>
        </is>
      </c>
      <c r="H95" t="n">
        <v>17.8</v>
      </c>
      <c r="I95" t="n">
        <v>32.4</v>
      </c>
      <c r="J95" t="n">
        <v>30.7</v>
      </c>
      <c r="K95" t="inlineStr">
        <is>
          <t>Dry</t>
        </is>
      </c>
      <c r="L95" t="n">
        <v>23</v>
      </c>
      <c r="M95" t="n">
        <v>0</v>
      </c>
      <c r="N95" t="n">
        <v>0</v>
      </c>
      <c r="O95" t="n">
        <v>0</v>
      </c>
      <c r="Q95" t="inlineStr">
        <is>
          <t>S02</t>
        </is>
      </c>
    </row>
    <row r="96">
      <c r="A96" t="inlineStr">
        <is>
          <t>2026-03-11</t>
        </is>
      </c>
      <c r="B96" t="inlineStr">
        <is>
          <t>BRO-P03</t>
        </is>
      </c>
      <c r="C96" t="n">
        <v>6</v>
      </c>
      <c r="D96" t="n">
        <v>0</v>
      </c>
      <c r="E96" t="n">
        <v>0</v>
      </c>
      <c r="F96" t="n">
        <v>500</v>
      </c>
      <c r="G96" t="inlineStr">
        <is>
          <t>Chick mash</t>
        </is>
      </c>
      <c r="H96" t="n">
        <v>18.8</v>
      </c>
      <c r="I96" t="n">
        <v>32.8</v>
      </c>
      <c r="J96" t="n">
        <v>28.6</v>
      </c>
      <c r="K96" t="inlineStr">
        <is>
          <t>Dry</t>
        </is>
      </c>
      <c r="L96" t="n">
        <v>23</v>
      </c>
      <c r="M96" t="n">
        <v>0</v>
      </c>
      <c r="N96" t="n">
        <v>0</v>
      </c>
      <c r="O96" t="n">
        <v>0</v>
      </c>
      <c r="Q96" t="inlineStr">
        <is>
          <t>S02</t>
        </is>
      </c>
    </row>
    <row r="97">
      <c r="A97" t="inlineStr">
        <is>
          <t>2026-03-12</t>
        </is>
      </c>
      <c r="B97" t="inlineStr">
        <is>
          <t>BRO-P03</t>
        </is>
      </c>
      <c r="C97" t="n">
        <v>7</v>
      </c>
      <c r="D97" t="n">
        <v>0</v>
      </c>
      <c r="E97" t="n">
        <v>0</v>
      </c>
      <c r="F97" t="n">
        <v>500</v>
      </c>
      <c r="G97" t="inlineStr">
        <is>
          <t>Chick mash</t>
        </is>
      </c>
      <c r="H97" t="n">
        <v>18.3</v>
      </c>
      <c r="I97" t="n">
        <v>32.7</v>
      </c>
      <c r="J97" t="n">
        <v>30.2</v>
      </c>
      <c r="K97" t="inlineStr">
        <is>
          <t>Dry</t>
        </is>
      </c>
      <c r="L97" t="n">
        <v>23</v>
      </c>
      <c r="M97" t="n">
        <v>0</v>
      </c>
      <c r="N97" t="n">
        <v>0</v>
      </c>
      <c r="O97" t="n">
        <v>0</v>
      </c>
      <c r="Q97" t="inlineStr">
        <is>
          <t>S02</t>
        </is>
      </c>
    </row>
    <row r="98">
      <c r="A98" t="inlineStr">
        <is>
          <t>2026-03-13</t>
        </is>
      </c>
      <c r="B98" t="inlineStr">
        <is>
          <t>BRO-P03</t>
        </is>
      </c>
      <c r="C98" t="n">
        <v>8</v>
      </c>
      <c r="D98" t="n">
        <v>0</v>
      </c>
      <c r="E98" t="n">
        <v>0</v>
      </c>
      <c r="F98" t="n">
        <v>500</v>
      </c>
      <c r="G98" t="inlineStr">
        <is>
          <t>Chick mash</t>
        </is>
      </c>
      <c r="H98" t="n">
        <v>21.1</v>
      </c>
      <c r="I98" t="n">
        <v>41.2</v>
      </c>
      <c r="J98" t="n">
        <v>31.9</v>
      </c>
      <c r="K98" t="inlineStr">
        <is>
          <t>Dry</t>
        </is>
      </c>
      <c r="L98" t="n">
        <v>23</v>
      </c>
      <c r="M98" t="n">
        <v>0</v>
      </c>
      <c r="N98" t="n">
        <v>0</v>
      </c>
      <c r="O98" t="n">
        <v>0</v>
      </c>
      <c r="Q98" t="inlineStr">
        <is>
          <t>S02</t>
        </is>
      </c>
    </row>
    <row r="99">
      <c r="A99" t="inlineStr">
        <is>
          <t>2026-03-14</t>
        </is>
      </c>
      <c r="B99" t="inlineStr">
        <is>
          <t>BRO-P03</t>
        </is>
      </c>
      <c r="C99" t="n">
        <v>9</v>
      </c>
      <c r="D99" t="n">
        <v>0</v>
      </c>
      <c r="E99" t="n">
        <v>0</v>
      </c>
      <c r="F99" t="n">
        <v>500</v>
      </c>
      <c r="G99" t="inlineStr">
        <is>
          <t>Chick mash</t>
        </is>
      </c>
      <c r="H99" t="n">
        <v>21.8</v>
      </c>
      <c r="I99" t="n">
        <v>38.7</v>
      </c>
      <c r="J99" t="n">
        <v>28</v>
      </c>
      <c r="K99" t="inlineStr">
        <is>
          <t>Dry</t>
        </is>
      </c>
      <c r="L99" t="n">
        <v>23</v>
      </c>
      <c r="M99" t="n">
        <v>0</v>
      </c>
      <c r="N99" t="n">
        <v>0</v>
      </c>
      <c r="O99" t="n">
        <v>0</v>
      </c>
      <c r="Q99" t="inlineStr">
        <is>
          <t>S02</t>
        </is>
      </c>
    </row>
    <row r="100">
      <c r="A100" t="inlineStr">
        <is>
          <t>2026-03-15</t>
        </is>
      </c>
      <c r="B100" t="inlineStr">
        <is>
          <t>BRO-P03</t>
        </is>
      </c>
      <c r="C100" t="n">
        <v>10</v>
      </c>
      <c r="D100" t="n">
        <v>0</v>
      </c>
      <c r="E100" t="n">
        <v>0</v>
      </c>
      <c r="F100" t="n">
        <v>500</v>
      </c>
      <c r="G100" t="inlineStr">
        <is>
          <t>Broiler starter</t>
        </is>
      </c>
      <c r="H100" t="n">
        <v>25.2</v>
      </c>
      <c r="I100" t="n">
        <v>47.9</v>
      </c>
      <c r="J100" t="n">
        <v>29.7</v>
      </c>
      <c r="K100" t="inlineStr">
        <is>
          <t>Dry</t>
        </is>
      </c>
      <c r="L100" t="n">
        <v>23</v>
      </c>
      <c r="M100" t="n">
        <v>0</v>
      </c>
      <c r="N100" t="n">
        <v>0</v>
      </c>
      <c r="O100" t="n">
        <v>0</v>
      </c>
      <c r="Q100" t="inlineStr">
        <is>
          <t>S02</t>
        </is>
      </c>
    </row>
    <row r="101">
      <c r="A101" t="inlineStr">
        <is>
          <t>2026-03-16</t>
        </is>
      </c>
      <c r="B101" t="inlineStr">
        <is>
          <t>BRO-P03</t>
        </is>
      </c>
      <c r="C101" t="n">
        <v>11</v>
      </c>
      <c r="D101" t="n">
        <v>0</v>
      </c>
      <c r="E101" t="n">
        <v>0</v>
      </c>
      <c r="F101" t="n">
        <v>500</v>
      </c>
      <c r="G101" t="inlineStr">
        <is>
          <t>Broiler starter</t>
        </is>
      </c>
      <c r="H101" t="n">
        <v>24.2</v>
      </c>
      <c r="I101" t="n">
        <v>39</v>
      </c>
      <c r="J101" t="n">
        <v>28.9</v>
      </c>
      <c r="K101" t="inlineStr">
        <is>
          <t>Dry</t>
        </is>
      </c>
      <c r="L101" t="n">
        <v>23</v>
      </c>
      <c r="M101" t="n">
        <v>0</v>
      </c>
      <c r="N101" t="n">
        <v>0</v>
      </c>
      <c r="O101" t="n">
        <v>0</v>
      </c>
      <c r="Q101" t="inlineStr">
        <is>
          <t>S02</t>
        </is>
      </c>
    </row>
    <row r="102">
      <c r="A102" t="inlineStr">
        <is>
          <t>2026-03-17</t>
        </is>
      </c>
      <c r="B102" t="inlineStr">
        <is>
          <t>BRO-P03</t>
        </is>
      </c>
      <c r="C102" t="n">
        <v>12</v>
      </c>
      <c r="D102" t="n">
        <v>0</v>
      </c>
      <c r="E102" t="n">
        <v>0</v>
      </c>
      <c r="F102" t="n">
        <v>500</v>
      </c>
      <c r="G102" t="inlineStr">
        <is>
          <t>Broiler starter</t>
        </is>
      </c>
      <c r="H102" t="n">
        <v>27.7</v>
      </c>
      <c r="I102" t="n">
        <v>48.2</v>
      </c>
      <c r="J102" t="n">
        <v>29.4</v>
      </c>
      <c r="K102" t="inlineStr">
        <is>
          <t>Dry</t>
        </is>
      </c>
      <c r="L102" t="n">
        <v>23</v>
      </c>
      <c r="M102" t="n">
        <v>0</v>
      </c>
      <c r="N102" t="n">
        <v>0</v>
      </c>
      <c r="O102" t="n">
        <v>0</v>
      </c>
      <c r="Q102" t="inlineStr">
        <is>
          <t>S02</t>
        </is>
      </c>
    </row>
    <row r="103">
      <c r="A103" t="inlineStr">
        <is>
          <t>2026-03-18</t>
        </is>
      </c>
      <c r="B103" t="inlineStr">
        <is>
          <t>BRO-P03</t>
        </is>
      </c>
      <c r="C103" t="n">
        <v>13</v>
      </c>
      <c r="D103" t="n">
        <v>0</v>
      </c>
      <c r="E103" t="n">
        <v>0</v>
      </c>
      <c r="F103" t="n">
        <v>500</v>
      </c>
      <c r="G103" t="inlineStr">
        <is>
          <t>Broiler starter</t>
        </is>
      </c>
      <c r="H103" t="n">
        <v>29.5</v>
      </c>
      <c r="I103" t="n">
        <v>50.9</v>
      </c>
      <c r="J103" t="n">
        <v>30.6</v>
      </c>
      <c r="K103" t="inlineStr">
        <is>
          <t>Dry</t>
        </is>
      </c>
      <c r="L103" t="n">
        <v>23</v>
      </c>
      <c r="M103" t="n">
        <v>0</v>
      </c>
      <c r="N103" t="n">
        <v>0</v>
      </c>
      <c r="O103" t="n">
        <v>0</v>
      </c>
      <c r="Q103" t="inlineStr">
        <is>
          <t>S02</t>
        </is>
      </c>
    </row>
    <row r="104">
      <c r="A104" t="inlineStr">
        <is>
          <t>2026-03-19</t>
        </is>
      </c>
      <c r="B104" t="inlineStr">
        <is>
          <t>BRO-P03</t>
        </is>
      </c>
      <c r="C104" t="n">
        <v>14</v>
      </c>
      <c r="D104" t="n">
        <v>0</v>
      </c>
      <c r="E104" t="n">
        <v>0</v>
      </c>
      <c r="F104" t="n">
        <v>500</v>
      </c>
      <c r="G104" t="inlineStr">
        <is>
          <t>Broiler starter</t>
        </is>
      </c>
      <c r="H104" t="n">
        <v>30.1</v>
      </c>
      <c r="I104" t="n">
        <v>51.1</v>
      </c>
      <c r="J104" t="n">
        <v>29.6</v>
      </c>
      <c r="K104" t="inlineStr">
        <is>
          <t>Dry</t>
        </is>
      </c>
      <c r="L104" t="n">
        <v>23</v>
      </c>
      <c r="M104" t="n">
        <v>0</v>
      </c>
      <c r="N104" t="n">
        <v>0</v>
      </c>
      <c r="O104" t="n">
        <v>0</v>
      </c>
      <c r="Q104" t="inlineStr">
        <is>
          <t>S02</t>
        </is>
      </c>
    </row>
    <row r="105">
      <c r="A105" t="inlineStr">
        <is>
          <t>2026-03-20</t>
        </is>
      </c>
      <c r="B105" t="inlineStr">
        <is>
          <t>BRO-P03</t>
        </is>
      </c>
      <c r="C105" t="n">
        <v>15</v>
      </c>
      <c r="D105" t="n">
        <v>0</v>
      </c>
      <c r="E105" t="n">
        <v>0</v>
      </c>
      <c r="F105" t="n">
        <v>500</v>
      </c>
      <c r="G105" t="inlineStr">
        <is>
          <t>Broiler starter</t>
        </is>
      </c>
      <c r="H105" t="n">
        <v>28.7</v>
      </c>
      <c r="I105" t="n">
        <v>53.6</v>
      </c>
      <c r="J105" t="n">
        <v>31.2</v>
      </c>
      <c r="K105" t="inlineStr">
        <is>
          <t>Dry</t>
        </is>
      </c>
      <c r="L105" t="n">
        <v>23</v>
      </c>
      <c r="M105" t="n">
        <v>0</v>
      </c>
      <c r="N105" t="n">
        <v>0</v>
      </c>
      <c r="O105" t="n">
        <v>0</v>
      </c>
      <c r="Q105" t="inlineStr">
        <is>
          <t>S02</t>
        </is>
      </c>
    </row>
    <row r="106">
      <c r="A106" t="inlineStr">
        <is>
          <t>2026-03-21</t>
        </is>
      </c>
      <c r="B106" t="inlineStr">
        <is>
          <t>BRO-P03</t>
        </is>
      </c>
      <c r="C106" t="n">
        <v>16</v>
      </c>
      <c r="D106" t="n">
        <v>0</v>
      </c>
      <c r="E106" t="n">
        <v>0</v>
      </c>
      <c r="F106" t="n">
        <v>500</v>
      </c>
      <c r="G106" t="inlineStr">
        <is>
          <t>Broiler starter</t>
        </is>
      </c>
      <c r="H106" t="n">
        <v>33.3</v>
      </c>
      <c r="I106" t="n">
        <v>60.2</v>
      </c>
      <c r="J106" t="n">
        <v>28.2</v>
      </c>
      <c r="K106" t="inlineStr">
        <is>
          <t>Dry</t>
        </is>
      </c>
      <c r="L106" t="n">
        <v>23</v>
      </c>
      <c r="M106" t="n">
        <v>0</v>
      </c>
      <c r="N106" t="n">
        <v>0</v>
      </c>
      <c r="O106" t="n">
        <v>0</v>
      </c>
      <c r="Q106" t="inlineStr">
        <is>
          <t>S02</t>
        </is>
      </c>
    </row>
    <row r="107">
      <c r="A107" t="inlineStr">
        <is>
          <t>2026-03-22</t>
        </is>
      </c>
      <c r="B107" t="inlineStr">
        <is>
          <t>BRO-P03</t>
        </is>
      </c>
      <c r="C107" t="n">
        <v>17</v>
      </c>
      <c r="D107" t="n">
        <v>0</v>
      </c>
      <c r="E107" t="n">
        <v>0</v>
      </c>
      <c r="F107" t="n">
        <v>500</v>
      </c>
      <c r="G107" t="inlineStr">
        <is>
          <t>Broiler starter</t>
        </is>
      </c>
      <c r="H107" t="n">
        <v>32</v>
      </c>
      <c r="I107" t="n">
        <v>59</v>
      </c>
      <c r="J107" t="n">
        <v>29</v>
      </c>
      <c r="K107" t="inlineStr">
        <is>
          <t>Dry</t>
        </is>
      </c>
      <c r="L107" t="n">
        <v>23</v>
      </c>
      <c r="M107" t="n">
        <v>0</v>
      </c>
      <c r="N107" t="n">
        <v>0</v>
      </c>
      <c r="O107" t="n">
        <v>0</v>
      </c>
      <c r="Q107" t="inlineStr">
        <is>
          <t>S02</t>
        </is>
      </c>
    </row>
    <row r="108">
      <c r="A108" t="inlineStr">
        <is>
          <t>2026-03-23</t>
        </is>
      </c>
      <c r="B108" t="inlineStr">
        <is>
          <t>BRO-P03</t>
        </is>
      </c>
      <c r="C108" t="n">
        <v>18</v>
      </c>
      <c r="D108" t="n">
        <v>0</v>
      </c>
      <c r="E108" t="n">
        <v>0</v>
      </c>
      <c r="F108" t="n">
        <v>500</v>
      </c>
      <c r="G108" t="inlineStr">
        <is>
          <t>Broiler starter</t>
        </is>
      </c>
      <c r="H108" t="n">
        <v>30.6</v>
      </c>
      <c r="I108" t="n">
        <v>57</v>
      </c>
      <c r="J108" t="n">
        <v>27.2</v>
      </c>
      <c r="K108" t="inlineStr">
        <is>
          <t>Dry</t>
        </is>
      </c>
      <c r="L108" t="n">
        <v>23</v>
      </c>
      <c r="M108" t="n">
        <v>0</v>
      </c>
      <c r="N108" t="n">
        <v>0</v>
      </c>
      <c r="O108" t="n">
        <v>0</v>
      </c>
      <c r="Q108" t="inlineStr">
        <is>
          <t>S02</t>
        </is>
      </c>
    </row>
    <row r="109">
      <c r="A109" t="inlineStr">
        <is>
          <t>2026-03-24</t>
        </is>
      </c>
      <c r="B109" t="inlineStr">
        <is>
          <t>BRO-P03</t>
        </is>
      </c>
      <c r="C109" t="n">
        <v>19</v>
      </c>
      <c r="D109" t="n">
        <v>0</v>
      </c>
      <c r="E109" t="n">
        <v>0</v>
      </c>
      <c r="F109" t="n">
        <v>500</v>
      </c>
      <c r="G109" t="inlineStr">
        <is>
          <t>Broiler starter</t>
        </is>
      </c>
      <c r="H109" t="n">
        <v>36.2</v>
      </c>
      <c r="I109" t="n">
        <v>59.2</v>
      </c>
      <c r="J109" t="n">
        <v>27.2</v>
      </c>
      <c r="K109" t="inlineStr">
        <is>
          <t>Dry</t>
        </is>
      </c>
      <c r="L109" t="n">
        <v>23</v>
      </c>
      <c r="M109" t="n">
        <v>0</v>
      </c>
      <c r="N109" t="n">
        <v>0</v>
      </c>
      <c r="O109" t="n">
        <v>0</v>
      </c>
      <c r="Q109" t="inlineStr">
        <is>
          <t>S02</t>
        </is>
      </c>
    </row>
    <row r="110">
      <c r="A110" t="inlineStr">
        <is>
          <t>2026-03-25</t>
        </is>
      </c>
      <c r="B110" t="inlineStr">
        <is>
          <t>BRO-P03</t>
        </is>
      </c>
      <c r="C110" t="n">
        <v>20</v>
      </c>
      <c r="D110" t="n">
        <v>0</v>
      </c>
      <c r="E110" t="n">
        <v>0</v>
      </c>
      <c r="F110" t="n">
        <v>500</v>
      </c>
      <c r="G110" t="inlineStr">
        <is>
          <t>Broiler starter</t>
        </is>
      </c>
      <c r="H110" t="n">
        <v>35.9</v>
      </c>
      <c r="I110" t="n">
        <v>64.3</v>
      </c>
      <c r="J110" t="n">
        <v>26.9</v>
      </c>
      <c r="K110" t="inlineStr">
        <is>
          <t>Dry</t>
        </is>
      </c>
      <c r="L110" t="n">
        <v>23</v>
      </c>
      <c r="M110" t="n">
        <v>0</v>
      </c>
      <c r="N110" t="n">
        <v>0</v>
      </c>
      <c r="O110" t="n">
        <v>0</v>
      </c>
      <c r="Q110" t="inlineStr">
        <is>
          <t>S02</t>
        </is>
      </c>
    </row>
    <row r="111">
      <c r="A111" t="inlineStr">
        <is>
          <t>2026-03-26</t>
        </is>
      </c>
      <c r="B111" t="inlineStr">
        <is>
          <t>BRO-P03</t>
        </is>
      </c>
      <c r="C111" t="n">
        <v>21</v>
      </c>
      <c r="D111" t="n">
        <v>0</v>
      </c>
      <c r="E111" t="n">
        <v>0</v>
      </c>
      <c r="F111" t="n">
        <v>500</v>
      </c>
      <c r="G111" t="inlineStr">
        <is>
          <t>Broiler starter</t>
        </is>
      </c>
      <c r="H111" t="n">
        <v>33.7</v>
      </c>
      <c r="I111" t="n">
        <v>54</v>
      </c>
      <c r="J111" t="n">
        <v>26.4</v>
      </c>
      <c r="K111" t="inlineStr">
        <is>
          <t>Dry</t>
        </is>
      </c>
      <c r="L111" t="n">
        <v>23</v>
      </c>
      <c r="M111" t="n">
        <v>0</v>
      </c>
      <c r="N111" t="n">
        <v>0</v>
      </c>
      <c r="O111" t="n">
        <v>0</v>
      </c>
      <c r="Q111" t="inlineStr">
        <is>
          <t>S02</t>
        </is>
      </c>
    </row>
    <row r="112">
      <c r="A112" t="inlineStr">
        <is>
          <t>2026-03-27</t>
        </is>
      </c>
      <c r="B112" t="inlineStr">
        <is>
          <t>BRO-P03</t>
        </is>
      </c>
      <c r="C112" t="n">
        <v>22</v>
      </c>
      <c r="D112" t="n">
        <v>0</v>
      </c>
      <c r="E112" t="n">
        <v>0</v>
      </c>
      <c r="F112" t="n">
        <v>500</v>
      </c>
      <c r="G112" t="inlineStr">
        <is>
          <t>Broiler starter</t>
        </is>
      </c>
      <c r="H112" t="n">
        <v>35</v>
      </c>
      <c r="I112" t="n">
        <v>64.09999999999999</v>
      </c>
      <c r="J112" t="n">
        <v>23.7</v>
      </c>
      <c r="K112" t="inlineStr">
        <is>
          <t>Dry</t>
        </is>
      </c>
      <c r="M112" t="n">
        <v>0</v>
      </c>
      <c r="N112" t="n">
        <v>0</v>
      </c>
      <c r="O112" t="n">
        <v>0</v>
      </c>
      <c r="Q112" t="inlineStr">
        <is>
          <t>S02</t>
        </is>
      </c>
    </row>
    <row r="113">
      <c r="A113" t="inlineStr">
        <is>
          <t>2026-03-28</t>
        </is>
      </c>
      <c r="B113" t="inlineStr">
        <is>
          <t>BRO-P03</t>
        </is>
      </c>
      <c r="C113" t="n">
        <v>23</v>
      </c>
      <c r="D113" t="n">
        <v>0</v>
      </c>
      <c r="E113" t="n">
        <v>0</v>
      </c>
      <c r="F113" t="n">
        <v>500</v>
      </c>
      <c r="G113" t="inlineStr">
        <is>
          <t>Broiler starter</t>
        </is>
      </c>
      <c r="H113" t="n">
        <v>43.6</v>
      </c>
      <c r="I113" t="n">
        <v>80.40000000000001</v>
      </c>
      <c r="J113" t="n">
        <v>26.3</v>
      </c>
      <c r="K113" t="inlineStr">
        <is>
          <t>Dry</t>
        </is>
      </c>
      <c r="M113" t="n">
        <v>0</v>
      </c>
      <c r="N113" t="n">
        <v>0</v>
      </c>
      <c r="O113" t="n">
        <v>0</v>
      </c>
      <c r="Q113" t="inlineStr">
        <is>
          <t>S02</t>
        </is>
      </c>
    </row>
    <row r="114">
      <c r="A114" t="inlineStr">
        <is>
          <t>2026-03-29</t>
        </is>
      </c>
      <c r="B114" t="inlineStr">
        <is>
          <t>BRO-P03</t>
        </is>
      </c>
      <c r="C114" t="n">
        <v>24</v>
      </c>
      <c r="D114" t="n">
        <v>0</v>
      </c>
      <c r="E114" t="n">
        <v>0</v>
      </c>
      <c r="F114" t="n">
        <v>500</v>
      </c>
      <c r="G114" t="inlineStr">
        <is>
          <t>Broiler grower</t>
        </is>
      </c>
      <c r="H114" t="n">
        <v>42.5</v>
      </c>
      <c r="I114" t="n">
        <v>72.5</v>
      </c>
      <c r="J114" t="n">
        <v>23.8</v>
      </c>
      <c r="K114" t="inlineStr">
        <is>
          <t>Dry</t>
        </is>
      </c>
      <c r="M114" t="n">
        <v>0</v>
      </c>
      <c r="N114" t="n">
        <v>0</v>
      </c>
      <c r="O114" t="n">
        <v>0</v>
      </c>
      <c r="Q114" t="inlineStr">
        <is>
          <t>S02</t>
        </is>
      </c>
    </row>
    <row r="115">
      <c r="A115" t="inlineStr">
        <is>
          <t>2026-03-30</t>
        </is>
      </c>
      <c r="B115" t="inlineStr">
        <is>
          <t>BRO-P03</t>
        </is>
      </c>
      <c r="C115" t="n">
        <v>25</v>
      </c>
      <c r="D115" t="n">
        <v>0</v>
      </c>
      <c r="E115" t="n">
        <v>0</v>
      </c>
      <c r="F115" t="n">
        <v>500</v>
      </c>
      <c r="G115" t="inlineStr">
        <is>
          <t>Broiler grower</t>
        </is>
      </c>
      <c r="H115" t="n">
        <v>45.6</v>
      </c>
      <c r="I115" t="n">
        <v>75.59999999999999</v>
      </c>
      <c r="J115" t="n">
        <v>27.7</v>
      </c>
      <c r="K115" t="inlineStr">
        <is>
          <t>Dry</t>
        </is>
      </c>
      <c r="M115" t="n">
        <v>0</v>
      </c>
      <c r="N115" t="n">
        <v>0</v>
      </c>
      <c r="O115" t="n">
        <v>0</v>
      </c>
      <c r="Q115" t="inlineStr">
        <is>
          <t>S02</t>
        </is>
      </c>
    </row>
    <row r="116">
      <c r="A116" t="inlineStr">
        <is>
          <t>2026-03-31</t>
        </is>
      </c>
      <c r="B116" t="inlineStr">
        <is>
          <t>BRO-P03</t>
        </is>
      </c>
      <c r="C116" t="n">
        <v>26</v>
      </c>
      <c r="D116" t="n">
        <v>0</v>
      </c>
      <c r="E116" t="n">
        <v>0</v>
      </c>
      <c r="F116" t="n">
        <v>500</v>
      </c>
      <c r="G116" t="inlineStr">
        <is>
          <t>Broiler grower</t>
        </is>
      </c>
      <c r="H116" t="n">
        <v>46.6</v>
      </c>
      <c r="I116" t="n">
        <v>77.5</v>
      </c>
      <c r="J116" t="n">
        <v>26.8</v>
      </c>
      <c r="K116" t="inlineStr">
        <is>
          <t>Dry</t>
        </is>
      </c>
      <c r="M116" t="n">
        <v>0</v>
      </c>
      <c r="N116" t="n">
        <v>0</v>
      </c>
      <c r="O116" t="n">
        <v>0</v>
      </c>
      <c r="Q116" t="inlineStr">
        <is>
          <t>S02</t>
        </is>
      </c>
    </row>
    <row r="117">
      <c r="A117" t="inlineStr">
        <is>
          <t>2026-04-01</t>
        </is>
      </c>
      <c r="B117" t="inlineStr">
        <is>
          <t>BRO-P03</t>
        </is>
      </c>
      <c r="C117" t="n">
        <v>27</v>
      </c>
      <c r="D117" t="n">
        <v>0</v>
      </c>
      <c r="E117" t="n">
        <v>0</v>
      </c>
      <c r="F117" t="n">
        <v>500</v>
      </c>
      <c r="G117" t="inlineStr">
        <is>
          <t>Broiler grower</t>
        </is>
      </c>
      <c r="H117" t="n">
        <v>43.7</v>
      </c>
      <c r="I117" t="n">
        <v>77.8</v>
      </c>
      <c r="J117" t="n">
        <v>26.5</v>
      </c>
      <c r="K117" t="inlineStr">
        <is>
          <t>Dry</t>
        </is>
      </c>
      <c r="M117" t="n">
        <v>0</v>
      </c>
      <c r="N117" t="n">
        <v>0</v>
      </c>
      <c r="O117" t="n">
        <v>0</v>
      </c>
      <c r="Q117" t="inlineStr">
        <is>
          <t>S02</t>
        </is>
      </c>
    </row>
    <row r="118">
      <c r="A118" t="inlineStr">
        <is>
          <t>2026-04-02</t>
        </is>
      </c>
      <c r="B118" t="inlineStr">
        <is>
          <t>BRO-P03</t>
        </is>
      </c>
      <c r="C118" t="n">
        <v>28</v>
      </c>
      <c r="D118" t="n">
        <v>0</v>
      </c>
      <c r="E118" t="n">
        <v>0</v>
      </c>
      <c r="F118" t="n">
        <v>500</v>
      </c>
      <c r="G118" t="inlineStr">
        <is>
          <t>Broiler grower</t>
        </is>
      </c>
      <c r="H118" t="n">
        <v>42.8</v>
      </c>
      <c r="I118" t="n">
        <v>71.5</v>
      </c>
      <c r="J118" t="n">
        <v>27.9</v>
      </c>
      <c r="K118" t="inlineStr">
        <is>
          <t>Dry</t>
        </is>
      </c>
      <c r="M118" t="n">
        <v>0</v>
      </c>
      <c r="N118" t="n">
        <v>0</v>
      </c>
      <c r="O118" t="n">
        <v>0</v>
      </c>
      <c r="Q118" t="inlineStr">
        <is>
          <t>S02</t>
        </is>
      </c>
    </row>
    <row r="119">
      <c r="A119" t="inlineStr">
        <is>
          <t>2026-04-03</t>
        </is>
      </c>
      <c r="B119" t="inlineStr">
        <is>
          <t>BRO-P03</t>
        </is>
      </c>
      <c r="C119" t="n">
        <v>29</v>
      </c>
      <c r="D119" t="n">
        <v>0</v>
      </c>
      <c r="E119" t="n">
        <v>0</v>
      </c>
      <c r="F119" t="n">
        <v>500</v>
      </c>
      <c r="G119" t="inlineStr">
        <is>
          <t>Broiler grower</t>
        </is>
      </c>
      <c r="H119" t="n">
        <v>44.4</v>
      </c>
      <c r="I119" t="n">
        <v>72.2</v>
      </c>
      <c r="J119" t="n">
        <v>25.9</v>
      </c>
      <c r="K119" t="inlineStr">
        <is>
          <t>Dry</t>
        </is>
      </c>
      <c r="M119" t="n">
        <v>0</v>
      </c>
      <c r="N119" t="n">
        <v>0</v>
      </c>
      <c r="O119" t="n">
        <v>0</v>
      </c>
      <c r="Q119" t="inlineStr">
        <is>
          <t>S02</t>
        </is>
      </c>
    </row>
    <row r="120">
      <c r="A120" t="inlineStr">
        <is>
          <t>2026-04-04</t>
        </is>
      </c>
      <c r="B120" t="inlineStr">
        <is>
          <t>BRO-P03</t>
        </is>
      </c>
      <c r="C120" t="n">
        <v>30</v>
      </c>
      <c r="D120" t="n">
        <v>0</v>
      </c>
      <c r="E120" t="n">
        <v>0</v>
      </c>
      <c r="F120" t="n">
        <v>500</v>
      </c>
      <c r="G120" t="inlineStr">
        <is>
          <t>Broiler grower</t>
        </is>
      </c>
      <c r="H120" t="n">
        <v>51.8</v>
      </c>
      <c r="I120" t="n">
        <v>93.3</v>
      </c>
      <c r="J120" t="n">
        <v>24</v>
      </c>
      <c r="K120" t="inlineStr">
        <is>
          <t>Dry</t>
        </is>
      </c>
      <c r="M120" t="n">
        <v>0</v>
      </c>
      <c r="N120" t="n">
        <v>0</v>
      </c>
      <c r="O120" t="n">
        <v>0</v>
      </c>
      <c r="Q120" t="inlineStr">
        <is>
          <t>S02</t>
        </is>
      </c>
    </row>
    <row r="121">
      <c r="A121" t="inlineStr">
        <is>
          <t>2026-04-05</t>
        </is>
      </c>
      <c r="B121" t="inlineStr">
        <is>
          <t>BRO-P03</t>
        </is>
      </c>
      <c r="C121" t="n">
        <v>31</v>
      </c>
      <c r="D121" t="n">
        <v>0</v>
      </c>
      <c r="E121" t="n">
        <v>0</v>
      </c>
      <c r="F121" t="n">
        <v>500</v>
      </c>
      <c r="G121" t="inlineStr">
        <is>
          <t>Broiler grower</t>
        </is>
      </c>
      <c r="H121" t="n">
        <v>51.3</v>
      </c>
      <c r="I121" t="n">
        <v>99.59999999999999</v>
      </c>
      <c r="J121" t="n">
        <v>28.1</v>
      </c>
      <c r="K121" t="inlineStr">
        <is>
          <t>Dry</t>
        </is>
      </c>
      <c r="M121" t="n">
        <v>0</v>
      </c>
      <c r="N121" t="n">
        <v>0</v>
      </c>
      <c r="O121" t="n">
        <v>0</v>
      </c>
      <c r="Q121" t="inlineStr">
        <is>
          <t>S02</t>
        </is>
      </c>
    </row>
    <row r="122">
      <c r="A122" t="inlineStr">
        <is>
          <t>2026-04-06</t>
        </is>
      </c>
      <c r="B122" t="inlineStr">
        <is>
          <t>BRO-P03</t>
        </is>
      </c>
      <c r="C122" t="n">
        <v>32</v>
      </c>
      <c r="D122" t="n">
        <v>0</v>
      </c>
      <c r="E122" t="n">
        <v>0</v>
      </c>
      <c r="F122" t="n">
        <v>500</v>
      </c>
      <c r="G122" t="inlineStr">
        <is>
          <t>Broiler grower</t>
        </is>
      </c>
      <c r="H122" t="n">
        <v>51.8</v>
      </c>
      <c r="I122" t="n">
        <v>90.3</v>
      </c>
      <c r="J122" t="n">
        <v>23.6</v>
      </c>
      <c r="K122" t="inlineStr">
        <is>
          <t>Dry</t>
        </is>
      </c>
      <c r="M122" t="n">
        <v>0</v>
      </c>
      <c r="N122" t="n">
        <v>0</v>
      </c>
      <c r="O122" t="n">
        <v>0</v>
      </c>
      <c r="Q122" t="inlineStr">
        <is>
          <t>S02</t>
        </is>
      </c>
    </row>
    <row r="123">
      <c r="A123" t="inlineStr">
        <is>
          <t>2026-04-07</t>
        </is>
      </c>
      <c r="B123" t="inlineStr">
        <is>
          <t>BRO-P03</t>
        </is>
      </c>
      <c r="C123" t="n">
        <v>33</v>
      </c>
      <c r="D123" t="n">
        <v>0</v>
      </c>
      <c r="E123" t="n">
        <v>0</v>
      </c>
      <c r="F123" t="n">
        <v>500</v>
      </c>
      <c r="G123" t="inlineStr">
        <is>
          <t>Broiler grower</t>
        </is>
      </c>
      <c r="H123" t="n">
        <v>56.1</v>
      </c>
      <c r="I123" t="n">
        <v>108</v>
      </c>
      <c r="J123" t="n">
        <v>25.4</v>
      </c>
      <c r="K123" t="inlineStr">
        <is>
          <t>Dry</t>
        </is>
      </c>
      <c r="M123" t="n">
        <v>0</v>
      </c>
      <c r="N123" t="n">
        <v>0</v>
      </c>
      <c r="O123" t="n">
        <v>0</v>
      </c>
      <c r="Q123" t="inlineStr">
        <is>
          <t>S02</t>
        </is>
      </c>
    </row>
    <row r="124">
      <c r="A124" t="inlineStr">
        <is>
          <t>2026-04-08</t>
        </is>
      </c>
      <c r="B124" t="inlineStr">
        <is>
          <t>BRO-P03</t>
        </is>
      </c>
      <c r="C124" t="n">
        <v>34</v>
      </c>
      <c r="D124" t="n">
        <v>0</v>
      </c>
      <c r="E124" t="n">
        <v>0</v>
      </c>
      <c r="F124" t="n">
        <v>500</v>
      </c>
      <c r="G124" t="inlineStr">
        <is>
          <t>Broiler grower</t>
        </is>
      </c>
      <c r="H124" t="n">
        <v>57</v>
      </c>
      <c r="I124" t="n">
        <v>107.4</v>
      </c>
      <c r="J124" t="n">
        <v>23.9</v>
      </c>
      <c r="K124" t="inlineStr">
        <is>
          <t>Dry</t>
        </is>
      </c>
      <c r="M124" t="n">
        <v>0</v>
      </c>
      <c r="N124" t="n">
        <v>0</v>
      </c>
      <c r="O124" t="n">
        <v>0</v>
      </c>
      <c r="Q124" t="inlineStr">
        <is>
          <t>S02</t>
        </is>
      </c>
    </row>
    <row r="125">
      <c r="A125" t="inlineStr">
        <is>
          <t>2026-04-09</t>
        </is>
      </c>
      <c r="B125" t="inlineStr">
        <is>
          <t>BRO-P03</t>
        </is>
      </c>
      <c r="C125" t="n">
        <v>35</v>
      </c>
      <c r="D125" t="n">
        <v>0</v>
      </c>
      <c r="E125" t="n">
        <v>0</v>
      </c>
      <c r="F125" t="n">
        <v>500</v>
      </c>
      <c r="G125" t="inlineStr">
        <is>
          <t>Broiler finisher</t>
        </is>
      </c>
      <c r="H125" t="n">
        <v>52.5</v>
      </c>
      <c r="I125" t="n">
        <v>102.6</v>
      </c>
      <c r="J125" t="n">
        <v>24.9</v>
      </c>
      <c r="K125" t="inlineStr">
        <is>
          <t>Dry</t>
        </is>
      </c>
      <c r="M125" t="n">
        <v>0</v>
      </c>
      <c r="N125" t="n">
        <v>0</v>
      </c>
      <c r="O125" t="n">
        <v>0</v>
      </c>
      <c r="Q125" t="inlineStr">
        <is>
          <t>S02</t>
        </is>
      </c>
    </row>
    <row r="126">
      <c r="A126" t="inlineStr">
        <is>
          <t>2026-04-10</t>
        </is>
      </c>
      <c r="B126" t="inlineStr">
        <is>
          <t>BRO-P03</t>
        </is>
      </c>
      <c r="C126" t="n">
        <v>36</v>
      </c>
      <c r="D126" t="n">
        <v>0</v>
      </c>
      <c r="E126" t="n">
        <v>0</v>
      </c>
      <c r="F126" t="n">
        <v>500</v>
      </c>
      <c r="G126" t="inlineStr">
        <is>
          <t>Broiler finisher</t>
        </is>
      </c>
      <c r="H126" t="n">
        <v>53.3</v>
      </c>
      <c r="I126" t="n">
        <v>100.8</v>
      </c>
      <c r="J126" t="n">
        <v>27.5</v>
      </c>
      <c r="K126" t="inlineStr">
        <is>
          <t>Dry</t>
        </is>
      </c>
      <c r="M126" t="n">
        <v>0</v>
      </c>
      <c r="N126" t="n">
        <v>0</v>
      </c>
      <c r="O126" t="n">
        <v>0</v>
      </c>
      <c r="Q126" t="inlineStr">
        <is>
          <t>S02</t>
        </is>
      </c>
    </row>
    <row r="127">
      <c r="A127" t="inlineStr">
        <is>
          <t>2026-04-11</t>
        </is>
      </c>
      <c r="B127" t="inlineStr">
        <is>
          <t>BRO-P03</t>
        </is>
      </c>
      <c r="C127" t="n">
        <v>37</v>
      </c>
      <c r="D127" t="n">
        <v>0</v>
      </c>
      <c r="E127" t="n">
        <v>0</v>
      </c>
      <c r="F127" t="n">
        <v>500</v>
      </c>
      <c r="G127" t="inlineStr">
        <is>
          <t>Broiler finisher</t>
        </is>
      </c>
      <c r="H127" t="n">
        <v>52.4</v>
      </c>
      <c r="I127" t="n">
        <v>97.8</v>
      </c>
      <c r="J127" t="n">
        <v>27</v>
      </c>
      <c r="K127" t="inlineStr">
        <is>
          <t>Dry</t>
        </is>
      </c>
      <c r="M127" t="n">
        <v>0</v>
      </c>
      <c r="N127" t="n">
        <v>0</v>
      </c>
      <c r="O127" t="n">
        <v>0</v>
      </c>
      <c r="Q127" t="inlineStr">
        <is>
          <t>S02</t>
        </is>
      </c>
    </row>
    <row r="128">
      <c r="A128" t="inlineStr">
        <is>
          <t>2026-04-12</t>
        </is>
      </c>
      <c r="B128" t="inlineStr">
        <is>
          <t>BRO-P03</t>
        </is>
      </c>
      <c r="C128" t="n">
        <v>38</v>
      </c>
      <c r="D128" t="n">
        <v>0</v>
      </c>
      <c r="E128" t="n">
        <v>0</v>
      </c>
      <c r="F128" t="n">
        <v>500</v>
      </c>
      <c r="G128" t="inlineStr">
        <is>
          <t>Broiler finisher</t>
        </is>
      </c>
      <c r="H128" t="n">
        <v>55.3</v>
      </c>
      <c r="I128" t="n">
        <v>103.2</v>
      </c>
      <c r="J128" t="n">
        <v>24.7</v>
      </c>
      <c r="K128" t="inlineStr">
        <is>
          <t>Dry</t>
        </is>
      </c>
      <c r="M128" t="n">
        <v>0</v>
      </c>
      <c r="N128" t="n">
        <v>0</v>
      </c>
      <c r="O128" t="n">
        <v>0</v>
      </c>
      <c r="Q128" t="inlineStr">
        <is>
          <t>S02</t>
        </is>
      </c>
    </row>
    <row r="129">
      <c r="A129" t="inlineStr">
        <is>
          <t>2026-04-13</t>
        </is>
      </c>
      <c r="B129" t="inlineStr">
        <is>
          <t>BRO-P03</t>
        </is>
      </c>
      <c r="C129" t="n">
        <v>39</v>
      </c>
      <c r="D129" t="n">
        <v>0</v>
      </c>
      <c r="E129" t="n">
        <v>0</v>
      </c>
      <c r="F129" t="n">
        <v>500</v>
      </c>
      <c r="G129" t="inlineStr">
        <is>
          <t>Broiler finisher</t>
        </is>
      </c>
      <c r="H129" t="n">
        <v>59.1</v>
      </c>
      <c r="I129" t="n">
        <v>100.6</v>
      </c>
      <c r="J129" t="n">
        <v>26.9</v>
      </c>
      <c r="K129" t="inlineStr">
        <is>
          <t>Dry</t>
        </is>
      </c>
      <c r="M129" t="n">
        <v>0</v>
      </c>
      <c r="N129" t="n">
        <v>0</v>
      </c>
      <c r="O129" t="n">
        <v>0</v>
      </c>
      <c r="Q129" t="inlineStr">
        <is>
          <t>S02</t>
        </is>
      </c>
    </row>
    <row r="130">
      <c r="A130" t="inlineStr">
        <is>
          <t>2026-04-14</t>
        </is>
      </c>
      <c r="B130" t="inlineStr">
        <is>
          <t>BRO-P03</t>
        </is>
      </c>
      <c r="C130" t="n">
        <v>40</v>
      </c>
      <c r="D130" t="n">
        <v>0</v>
      </c>
      <c r="E130" t="n">
        <v>0</v>
      </c>
      <c r="F130" t="n">
        <v>500</v>
      </c>
      <c r="G130" t="inlineStr">
        <is>
          <t>Broiler finisher</t>
        </is>
      </c>
      <c r="H130" t="n">
        <v>65.5</v>
      </c>
      <c r="I130" t="n">
        <v>117.4</v>
      </c>
      <c r="J130" t="n">
        <v>25.3</v>
      </c>
      <c r="K130" t="inlineStr">
        <is>
          <t>Dry</t>
        </is>
      </c>
      <c r="M130" t="n">
        <v>0</v>
      </c>
      <c r="N130" t="n">
        <v>0</v>
      </c>
      <c r="O130" t="n">
        <v>0</v>
      </c>
      <c r="Q130" t="inlineStr">
        <is>
          <t>S02</t>
        </is>
      </c>
    </row>
    <row r="131">
      <c r="A131" t="inlineStr">
        <is>
          <t>2026-04-15</t>
        </is>
      </c>
      <c r="B131" t="inlineStr">
        <is>
          <t>BRO-P03</t>
        </is>
      </c>
      <c r="C131" t="n">
        <v>41</v>
      </c>
      <c r="D131" t="n">
        <v>0</v>
      </c>
      <c r="E131" t="n">
        <v>0</v>
      </c>
      <c r="F131" t="n">
        <v>500</v>
      </c>
      <c r="G131" t="inlineStr">
        <is>
          <t>Broiler finisher</t>
        </is>
      </c>
      <c r="H131" t="n">
        <v>60.9</v>
      </c>
      <c r="I131" t="n">
        <v>105.5</v>
      </c>
      <c r="J131" t="n">
        <v>27.1</v>
      </c>
      <c r="K131" t="inlineStr">
        <is>
          <t>Dry</t>
        </is>
      </c>
      <c r="M131" t="n">
        <v>0</v>
      </c>
      <c r="N131" t="n">
        <v>0</v>
      </c>
      <c r="O131" t="n">
        <v>0</v>
      </c>
      <c r="Q131" t="inlineStr">
        <is>
          <t>S02</t>
        </is>
      </c>
    </row>
    <row r="132">
      <c r="A132" t="inlineStr">
        <is>
          <t>2026-04-16</t>
        </is>
      </c>
      <c r="B132" t="inlineStr">
        <is>
          <t>BRO-P03</t>
        </is>
      </c>
      <c r="C132" t="n">
        <v>42</v>
      </c>
      <c r="D132" t="n">
        <v>0</v>
      </c>
      <c r="E132" t="n">
        <v>0</v>
      </c>
      <c r="F132" t="n">
        <v>500</v>
      </c>
      <c r="G132" t="inlineStr">
        <is>
          <t>Broiler finisher</t>
        </is>
      </c>
      <c r="H132" t="n">
        <v>66.7</v>
      </c>
      <c r="I132" t="n">
        <v>127.2</v>
      </c>
      <c r="J132" t="n">
        <v>25.7</v>
      </c>
      <c r="K132" t="inlineStr">
        <is>
          <t>Dry</t>
        </is>
      </c>
      <c r="M132" t="n">
        <v>0</v>
      </c>
      <c r="N132" t="n">
        <v>0</v>
      </c>
      <c r="O132" t="n">
        <v>0</v>
      </c>
      <c r="Q132" t="inlineStr">
        <is>
          <t>S02</t>
        </is>
      </c>
    </row>
    <row r="133">
      <c r="A133" t="inlineStr">
        <is>
          <t>2026-08-04</t>
        </is>
      </c>
      <c r="B133" t="inlineStr">
        <is>
          <t>BRO-P04</t>
        </is>
      </c>
      <c r="C133" t="n">
        <v>0</v>
      </c>
      <c r="D133" t="n">
        <v>0</v>
      </c>
      <c r="E133" t="n">
        <v>0</v>
      </c>
      <c r="F133" t="n">
        <v>510</v>
      </c>
      <c r="G133" t="inlineStr">
        <is>
          <t>Chick mash</t>
        </is>
      </c>
      <c r="H133" t="n">
        <v>9.5</v>
      </c>
      <c r="I133" t="n">
        <v>15.9</v>
      </c>
      <c r="J133" t="n">
        <v>30.4</v>
      </c>
      <c r="K133" t="inlineStr">
        <is>
          <t>Dry</t>
        </is>
      </c>
      <c r="L133" t="n">
        <v>23</v>
      </c>
      <c r="M133" t="n">
        <v>0</v>
      </c>
      <c r="N133" t="n">
        <v>0</v>
      </c>
      <c r="O133" t="n">
        <v>0</v>
      </c>
      <c r="Q133" t="inlineStr">
        <is>
          <t>S02</t>
        </is>
      </c>
    </row>
    <row r="134">
      <c r="A134" t="inlineStr">
        <is>
          <t>2026-08-05</t>
        </is>
      </c>
      <c r="B134" t="inlineStr">
        <is>
          <t>BRO-P04</t>
        </is>
      </c>
      <c r="C134" t="n">
        <v>1</v>
      </c>
      <c r="D134" t="n">
        <v>0</v>
      </c>
      <c r="E134" t="n">
        <v>0</v>
      </c>
      <c r="F134" t="n">
        <v>510</v>
      </c>
      <c r="G134" t="inlineStr">
        <is>
          <t>Chick mash</t>
        </is>
      </c>
      <c r="H134" t="n">
        <v>11.6</v>
      </c>
      <c r="I134" t="n">
        <v>21.9</v>
      </c>
      <c r="J134" t="n">
        <v>32.2</v>
      </c>
      <c r="K134" t="inlineStr">
        <is>
          <t>Dry</t>
        </is>
      </c>
      <c r="L134" t="n">
        <v>23</v>
      </c>
      <c r="M134" t="n">
        <v>0</v>
      </c>
      <c r="N134" t="n">
        <v>0</v>
      </c>
      <c r="O134" t="n">
        <v>0</v>
      </c>
      <c r="Q134" t="inlineStr">
        <is>
          <t>S02</t>
        </is>
      </c>
    </row>
    <row r="135">
      <c r="A135" t="inlineStr">
        <is>
          <t>2026-08-06</t>
        </is>
      </c>
      <c r="B135" t="inlineStr">
        <is>
          <t>BRO-P04</t>
        </is>
      </c>
      <c r="C135" t="n">
        <v>2</v>
      </c>
      <c r="D135" t="n">
        <v>0</v>
      </c>
      <c r="E135" t="n">
        <v>0</v>
      </c>
      <c r="F135" t="n">
        <v>510</v>
      </c>
      <c r="G135" t="inlineStr">
        <is>
          <t>Chick mash</t>
        </is>
      </c>
      <c r="H135" t="n">
        <v>14</v>
      </c>
      <c r="I135" t="n">
        <v>22.2</v>
      </c>
      <c r="J135" t="n">
        <v>28.2</v>
      </c>
      <c r="K135" t="inlineStr">
        <is>
          <t>Dry</t>
        </is>
      </c>
      <c r="L135" t="n">
        <v>23</v>
      </c>
      <c r="M135" t="n">
        <v>0</v>
      </c>
      <c r="N135" t="n">
        <v>0</v>
      </c>
      <c r="O135" t="n">
        <v>0</v>
      </c>
      <c r="Q135" t="inlineStr">
        <is>
          <t>S02</t>
        </is>
      </c>
    </row>
    <row r="136">
      <c r="A136" t="inlineStr">
        <is>
          <t>2026-08-07</t>
        </is>
      </c>
      <c r="B136" t="inlineStr">
        <is>
          <t>BRO-P04</t>
        </is>
      </c>
      <c r="C136" t="n">
        <v>3</v>
      </c>
      <c r="D136" t="n">
        <v>0</v>
      </c>
      <c r="E136" t="n">
        <v>0</v>
      </c>
      <c r="F136" t="n">
        <v>510</v>
      </c>
      <c r="G136" t="inlineStr">
        <is>
          <t>Chick mash</t>
        </is>
      </c>
      <c r="H136" t="n">
        <v>15.4</v>
      </c>
      <c r="I136" t="n">
        <v>27.3</v>
      </c>
      <c r="J136" t="n">
        <v>28</v>
      </c>
      <c r="K136" t="inlineStr">
        <is>
          <t>Dry</t>
        </is>
      </c>
      <c r="L136" t="n">
        <v>23</v>
      </c>
      <c r="M136" t="n">
        <v>0</v>
      </c>
      <c r="N136" t="n">
        <v>0</v>
      </c>
      <c r="O136" t="n">
        <v>0</v>
      </c>
      <c r="Q136" t="inlineStr">
        <is>
          <t>S02</t>
        </is>
      </c>
    </row>
    <row r="137">
      <c r="A137" t="inlineStr">
        <is>
          <t>2026-08-08</t>
        </is>
      </c>
      <c r="B137" t="inlineStr">
        <is>
          <t>BRO-P04</t>
        </is>
      </c>
      <c r="C137" t="n">
        <v>4</v>
      </c>
      <c r="D137" t="n">
        <v>0</v>
      </c>
      <c r="E137" t="n">
        <v>0</v>
      </c>
      <c r="F137" t="n">
        <v>510</v>
      </c>
      <c r="G137" t="inlineStr">
        <is>
          <t>Chick mash</t>
        </is>
      </c>
      <c r="H137" t="n">
        <v>14.2</v>
      </c>
      <c r="I137" t="n">
        <v>22.7</v>
      </c>
      <c r="J137" t="n">
        <v>29.8</v>
      </c>
      <c r="K137" t="inlineStr">
        <is>
          <t>Dry</t>
        </is>
      </c>
      <c r="L137" t="n">
        <v>23</v>
      </c>
      <c r="M137" t="n">
        <v>0</v>
      </c>
      <c r="N137" t="n">
        <v>0</v>
      </c>
      <c r="O137" t="n">
        <v>0</v>
      </c>
      <c r="Q137" t="inlineStr">
        <is>
          <t>S02</t>
        </is>
      </c>
    </row>
    <row r="138">
      <c r="A138" t="inlineStr">
        <is>
          <t>2026-08-09</t>
        </is>
      </c>
      <c r="B138" t="inlineStr">
        <is>
          <t>BRO-P04</t>
        </is>
      </c>
      <c r="C138" t="n">
        <v>5</v>
      </c>
      <c r="D138" t="n">
        <v>0</v>
      </c>
      <c r="E138" t="n">
        <v>0</v>
      </c>
      <c r="F138" t="n">
        <v>510</v>
      </c>
      <c r="G138" t="inlineStr">
        <is>
          <t>Chick mash</t>
        </is>
      </c>
      <c r="H138" t="n">
        <v>17.2</v>
      </c>
      <c r="I138" t="n">
        <v>31.1</v>
      </c>
      <c r="J138" t="n">
        <v>31.7</v>
      </c>
      <c r="K138" t="inlineStr">
        <is>
          <t>Dry</t>
        </is>
      </c>
      <c r="L138" t="n">
        <v>23</v>
      </c>
      <c r="M138" t="n">
        <v>0</v>
      </c>
      <c r="N138" t="n">
        <v>0</v>
      </c>
      <c r="O138" t="n">
        <v>0</v>
      </c>
      <c r="Q138" t="inlineStr">
        <is>
          <t>S02</t>
        </is>
      </c>
    </row>
    <row r="139">
      <c r="A139" t="inlineStr">
        <is>
          <t>2026-08-10</t>
        </is>
      </c>
      <c r="B139" t="inlineStr">
        <is>
          <t>BRO-P04</t>
        </is>
      </c>
      <c r="C139" t="n">
        <v>6</v>
      </c>
      <c r="D139" t="n">
        <v>0</v>
      </c>
      <c r="E139" t="n">
        <v>0</v>
      </c>
      <c r="F139" t="n">
        <v>510</v>
      </c>
      <c r="G139" t="inlineStr">
        <is>
          <t>Chick mash</t>
        </is>
      </c>
      <c r="H139" t="n">
        <v>19.3</v>
      </c>
      <c r="I139" t="n">
        <v>35.9</v>
      </c>
      <c r="J139" t="n">
        <v>29.9</v>
      </c>
      <c r="K139" t="inlineStr">
        <is>
          <t>Dry</t>
        </is>
      </c>
      <c r="L139" t="n">
        <v>23</v>
      </c>
      <c r="M139" t="n">
        <v>0</v>
      </c>
      <c r="N139" t="n">
        <v>0</v>
      </c>
      <c r="O139" t="n">
        <v>0</v>
      </c>
      <c r="Q139" t="inlineStr">
        <is>
          <t>S02</t>
        </is>
      </c>
    </row>
    <row r="140">
      <c r="A140" t="inlineStr">
        <is>
          <t>2026-08-11</t>
        </is>
      </c>
      <c r="B140" t="inlineStr">
        <is>
          <t>BRO-P04</t>
        </is>
      </c>
      <c r="C140" t="n">
        <v>7</v>
      </c>
      <c r="D140" t="n">
        <v>0</v>
      </c>
      <c r="E140" t="n">
        <v>0</v>
      </c>
      <c r="F140" t="n">
        <v>510</v>
      </c>
      <c r="G140" t="inlineStr">
        <is>
          <t>Chick mash</t>
        </is>
      </c>
      <c r="H140" t="n">
        <v>20.7</v>
      </c>
      <c r="I140" t="n">
        <v>35.3</v>
      </c>
      <c r="J140" t="n">
        <v>27.3</v>
      </c>
      <c r="K140" t="inlineStr">
        <is>
          <t>Dry</t>
        </is>
      </c>
      <c r="L140" t="n">
        <v>23</v>
      </c>
      <c r="M140" t="n">
        <v>0</v>
      </c>
      <c r="N140" t="n">
        <v>0</v>
      </c>
      <c r="O140" t="n">
        <v>0</v>
      </c>
      <c r="Q140" t="inlineStr">
        <is>
          <t>S02</t>
        </is>
      </c>
    </row>
    <row r="141">
      <c r="A141" t="inlineStr">
        <is>
          <t>2026-08-12</t>
        </is>
      </c>
      <c r="B141" t="inlineStr">
        <is>
          <t>BRO-P04</t>
        </is>
      </c>
      <c r="C141" t="n">
        <v>8</v>
      </c>
      <c r="D141" t="n">
        <v>0</v>
      </c>
      <c r="E141" t="n">
        <v>0</v>
      </c>
      <c r="F141" t="n">
        <v>510</v>
      </c>
      <c r="G141" t="inlineStr">
        <is>
          <t>Chick mash</t>
        </is>
      </c>
      <c r="H141" t="n">
        <v>19.7</v>
      </c>
      <c r="I141" t="n">
        <v>32.6</v>
      </c>
      <c r="J141" t="n">
        <v>27.3</v>
      </c>
      <c r="K141" t="inlineStr">
        <is>
          <t>Dry</t>
        </is>
      </c>
      <c r="L141" t="n">
        <v>23</v>
      </c>
      <c r="M141" t="n">
        <v>0</v>
      </c>
      <c r="N141" t="n">
        <v>0</v>
      </c>
      <c r="O141" t="n">
        <v>0</v>
      </c>
      <c r="Q141" t="inlineStr">
        <is>
          <t>S02</t>
        </is>
      </c>
    </row>
    <row r="142">
      <c r="A142" t="inlineStr">
        <is>
          <t>2026-08-13</t>
        </is>
      </c>
      <c r="B142" t="inlineStr">
        <is>
          <t>BRO-P04</t>
        </is>
      </c>
      <c r="C142" t="n">
        <v>9</v>
      </c>
      <c r="D142" t="n">
        <v>0</v>
      </c>
      <c r="E142" t="n">
        <v>1</v>
      </c>
      <c r="F142" t="n">
        <v>509</v>
      </c>
      <c r="G142" t="inlineStr">
        <is>
          <t>Chick mash</t>
        </is>
      </c>
      <c r="H142" t="n">
        <v>20.6</v>
      </c>
      <c r="I142" t="n">
        <v>41.5</v>
      </c>
      <c r="J142" t="n">
        <v>31.6</v>
      </c>
      <c r="K142" t="inlineStr">
        <is>
          <t>Dry</t>
        </is>
      </c>
      <c r="L142" t="n">
        <v>23</v>
      </c>
      <c r="M142" t="n">
        <v>0</v>
      </c>
      <c r="N142" t="n">
        <v>0</v>
      </c>
      <c r="O142" t="n">
        <v>0</v>
      </c>
      <c r="Q142" t="inlineStr">
        <is>
          <t>S02</t>
        </is>
      </c>
    </row>
    <row r="143">
      <c r="A143" t="inlineStr">
        <is>
          <t>2026-08-14</t>
        </is>
      </c>
      <c r="B143" t="inlineStr">
        <is>
          <t>BRO-P04</t>
        </is>
      </c>
      <c r="C143" t="n">
        <v>10</v>
      </c>
      <c r="D143" t="n">
        <v>0</v>
      </c>
      <c r="E143" t="n">
        <v>0</v>
      </c>
      <c r="F143" t="n">
        <v>509</v>
      </c>
      <c r="G143" t="inlineStr">
        <is>
          <t>Broiler starter</t>
        </is>
      </c>
      <c r="H143" t="n">
        <v>23.8</v>
      </c>
      <c r="I143" t="n">
        <v>43</v>
      </c>
      <c r="J143" t="n">
        <v>31.2</v>
      </c>
      <c r="K143" t="inlineStr">
        <is>
          <t>Dry</t>
        </is>
      </c>
      <c r="L143" t="n">
        <v>23</v>
      </c>
      <c r="M143" t="n">
        <v>0</v>
      </c>
      <c r="N143" t="n">
        <v>0</v>
      </c>
      <c r="O143" t="n">
        <v>0</v>
      </c>
      <c r="Q143" t="inlineStr">
        <is>
          <t>S02</t>
        </is>
      </c>
    </row>
    <row r="144">
      <c r="A144" t="inlineStr">
        <is>
          <t>2026-08-15</t>
        </is>
      </c>
      <c r="B144" t="inlineStr">
        <is>
          <t>BRO-P04</t>
        </is>
      </c>
      <c r="C144" t="n">
        <v>11</v>
      </c>
      <c r="D144" t="n">
        <v>0</v>
      </c>
      <c r="E144" t="n">
        <v>0</v>
      </c>
      <c r="F144" t="n">
        <v>509</v>
      </c>
      <c r="G144" t="inlineStr">
        <is>
          <t>Broiler starter</t>
        </is>
      </c>
      <c r="H144" t="n">
        <v>23.7</v>
      </c>
      <c r="I144" t="n">
        <v>46</v>
      </c>
      <c r="J144" t="n">
        <v>32.1</v>
      </c>
      <c r="K144" t="inlineStr">
        <is>
          <t>Dry</t>
        </is>
      </c>
      <c r="L144" t="n">
        <v>23</v>
      </c>
      <c r="M144" t="n">
        <v>0</v>
      </c>
      <c r="N144" t="n">
        <v>0</v>
      </c>
      <c r="O144" t="n">
        <v>0</v>
      </c>
      <c r="Q144" t="inlineStr">
        <is>
          <t>S02</t>
        </is>
      </c>
    </row>
    <row r="145">
      <c r="A145" t="inlineStr">
        <is>
          <t>2026-08-16</t>
        </is>
      </c>
      <c r="B145" t="inlineStr">
        <is>
          <t>BRO-P04</t>
        </is>
      </c>
      <c r="C145" t="n">
        <v>12</v>
      </c>
      <c r="D145" t="n">
        <v>0</v>
      </c>
      <c r="E145" t="n">
        <v>0</v>
      </c>
      <c r="F145" t="n">
        <v>509</v>
      </c>
      <c r="G145" t="inlineStr">
        <is>
          <t>Broiler starter</t>
        </is>
      </c>
      <c r="H145" t="n">
        <v>24.9</v>
      </c>
      <c r="I145" t="n">
        <v>46</v>
      </c>
      <c r="J145" t="n">
        <v>27.8</v>
      </c>
      <c r="K145" t="inlineStr">
        <is>
          <t>Dry</t>
        </is>
      </c>
      <c r="L145" t="n">
        <v>23</v>
      </c>
      <c r="M145" t="n">
        <v>0</v>
      </c>
      <c r="N145" t="n">
        <v>0</v>
      </c>
      <c r="O145" t="n">
        <v>0</v>
      </c>
      <c r="Q145" t="inlineStr">
        <is>
          <t>S02</t>
        </is>
      </c>
    </row>
    <row r="146">
      <c r="A146" t="inlineStr">
        <is>
          <t>2026-08-17</t>
        </is>
      </c>
      <c r="B146" t="inlineStr">
        <is>
          <t>BRO-P04</t>
        </is>
      </c>
      <c r="C146" t="n">
        <v>13</v>
      </c>
      <c r="D146" t="n">
        <v>0</v>
      </c>
      <c r="E146" t="n">
        <v>0</v>
      </c>
      <c r="F146" t="n">
        <v>509</v>
      </c>
      <c r="G146" t="inlineStr">
        <is>
          <t>Broiler starter</t>
        </is>
      </c>
      <c r="H146" t="n">
        <v>26.1</v>
      </c>
      <c r="I146" t="n">
        <v>45.9</v>
      </c>
      <c r="J146" t="n">
        <v>27.1</v>
      </c>
      <c r="K146" t="inlineStr">
        <is>
          <t>Dry</t>
        </is>
      </c>
      <c r="L146" t="n">
        <v>23</v>
      </c>
      <c r="M146" t="n">
        <v>0</v>
      </c>
      <c r="N146" t="n">
        <v>0</v>
      </c>
      <c r="O146" t="n">
        <v>0</v>
      </c>
      <c r="Q146" t="inlineStr">
        <is>
          <t>S02</t>
        </is>
      </c>
    </row>
    <row r="147">
      <c r="A147" t="inlineStr">
        <is>
          <t>2026-08-18</t>
        </is>
      </c>
      <c r="B147" t="inlineStr">
        <is>
          <t>BRO-P04</t>
        </is>
      </c>
      <c r="C147" t="n">
        <v>14</v>
      </c>
      <c r="D147" t="n">
        <v>0</v>
      </c>
      <c r="E147" t="n">
        <v>0</v>
      </c>
      <c r="F147" t="n">
        <v>509</v>
      </c>
      <c r="G147" t="inlineStr">
        <is>
          <t>Broiler starter</t>
        </is>
      </c>
      <c r="H147" t="n">
        <v>31.3</v>
      </c>
      <c r="I147" t="n">
        <v>60.4</v>
      </c>
      <c r="J147" t="n">
        <v>32</v>
      </c>
      <c r="K147" t="inlineStr">
        <is>
          <t>Dry</t>
        </is>
      </c>
      <c r="L147" t="n">
        <v>23</v>
      </c>
      <c r="M147" t="n">
        <v>0</v>
      </c>
      <c r="N147" t="n">
        <v>0</v>
      </c>
      <c r="O147" t="n">
        <v>0</v>
      </c>
      <c r="Q147" t="inlineStr">
        <is>
          <t>S02</t>
        </is>
      </c>
    </row>
    <row r="148">
      <c r="A148" t="inlineStr">
        <is>
          <t>2026-08-19</t>
        </is>
      </c>
      <c r="B148" t="inlineStr">
        <is>
          <t>BRO-P04</t>
        </is>
      </c>
      <c r="C148" t="n">
        <v>15</v>
      </c>
      <c r="D148" t="n">
        <v>0</v>
      </c>
      <c r="E148" t="n">
        <v>0</v>
      </c>
      <c r="F148" t="n">
        <v>509</v>
      </c>
      <c r="G148" t="inlineStr">
        <is>
          <t>Broiler starter</t>
        </is>
      </c>
      <c r="H148" t="n">
        <v>30.5</v>
      </c>
      <c r="I148" t="n">
        <v>57.5</v>
      </c>
      <c r="J148" t="n">
        <v>31.9</v>
      </c>
      <c r="K148" t="inlineStr">
        <is>
          <t>Dry</t>
        </is>
      </c>
      <c r="L148" t="n">
        <v>23</v>
      </c>
      <c r="M148" t="n">
        <v>0</v>
      </c>
      <c r="N148" t="n">
        <v>0</v>
      </c>
      <c r="O148" t="n">
        <v>0</v>
      </c>
      <c r="Q148" t="inlineStr">
        <is>
          <t>S02</t>
        </is>
      </c>
    </row>
    <row r="149">
      <c r="A149" t="inlineStr">
        <is>
          <t>2026-08-20</t>
        </is>
      </c>
      <c r="B149" t="inlineStr">
        <is>
          <t>BRO-P04</t>
        </is>
      </c>
      <c r="C149" t="n">
        <v>16</v>
      </c>
      <c r="D149" t="n">
        <v>0</v>
      </c>
      <c r="E149" t="n">
        <v>0</v>
      </c>
      <c r="F149" t="n">
        <v>509</v>
      </c>
      <c r="G149" t="inlineStr">
        <is>
          <t>Broiler starter</t>
        </is>
      </c>
      <c r="H149" t="n">
        <v>33</v>
      </c>
      <c r="I149" t="n">
        <v>66</v>
      </c>
      <c r="J149" t="n">
        <v>28.8</v>
      </c>
      <c r="K149" t="inlineStr">
        <is>
          <t>Dry</t>
        </is>
      </c>
      <c r="L149" t="n">
        <v>23</v>
      </c>
      <c r="M149" t="n">
        <v>0</v>
      </c>
      <c r="N149" t="n">
        <v>0</v>
      </c>
      <c r="O149" t="n">
        <v>0</v>
      </c>
      <c r="Q149" t="inlineStr">
        <is>
          <t>S02</t>
        </is>
      </c>
    </row>
    <row r="150">
      <c r="A150" t="inlineStr">
        <is>
          <t>2026-08-21</t>
        </is>
      </c>
      <c r="B150" t="inlineStr">
        <is>
          <t>BRO-P04</t>
        </is>
      </c>
      <c r="C150" t="n">
        <v>17</v>
      </c>
      <c r="D150" t="n">
        <v>0</v>
      </c>
      <c r="E150" t="n">
        <v>0</v>
      </c>
      <c r="F150" t="n">
        <v>509</v>
      </c>
      <c r="G150" t="inlineStr">
        <is>
          <t>Broiler starter</t>
        </is>
      </c>
      <c r="H150" t="n">
        <v>29.6</v>
      </c>
      <c r="I150" t="n">
        <v>48.4</v>
      </c>
      <c r="J150" t="n">
        <v>26.5</v>
      </c>
      <c r="K150" t="inlineStr">
        <is>
          <t>Dry</t>
        </is>
      </c>
      <c r="L150" t="n">
        <v>23</v>
      </c>
      <c r="M150" t="n">
        <v>0</v>
      </c>
      <c r="N150" t="n">
        <v>0</v>
      </c>
      <c r="O150" t="n">
        <v>0</v>
      </c>
      <c r="Q150" t="inlineStr">
        <is>
          <t>S02</t>
        </is>
      </c>
    </row>
    <row r="151">
      <c r="A151" t="inlineStr">
        <is>
          <t>2026-08-22</t>
        </is>
      </c>
      <c r="B151" t="inlineStr">
        <is>
          <t>BRO-P04</t>
        </is>
      </c>
      <c r="C151" t="n">
        <v>18</v>
      </c>
      <c r="D151" t="n">
        <v>0</v>
      </c>
      <c r="E151" t="n">
        <v>0</v>
      </c>
      <c r="F151" t="n">
        <v>509</v>
      </c>
      <c r="G151" t="inlineStr">
        <is>
          <t>Broiler starter</t>
        </is>
      </c>
      <c r="H151" t="n">
        <v>35.2</v>
      </c>
      <c r="I151" t="n">
        <v>59.3</v>
      </c>
      <c r="J151" t="n">
        <v>27.8</v>
      </c>
      <c r="K151" t="inlineStr">
        <is>
          <t>Dry</t>
        </is>
      </c>
      <c r="L151" t="n">
        <v>23</v>
      </c>
      <c r="M151" t="n">
        <v>0</v>
      </c>
      <c r="N151" t="n">
        <v>0</v>
      </c>
      <c r="O151" t="n">
        <v>0</v>
      </c>
      <c r="Q151" t="inlineStr">
        <is>
          <t>S02</t>
        </is>
      </c>
    </row>
    <row r="152">
      <c r="A152" t="inlineStr">
        <is>
          <t>2026-08-23</t>
        </is>
      </c>
      <c r="B152" t="inlineStr">
        <is>
          <t>BRO-P04</t>
        </is>
      </c>
      <c r="C152" t="n">
        <v>19</v>
      </c>
      <c r="D152" t="n">
        <v>0</v>
      </c>
      <c r="E152" t="n">
        <v>0</v>
      </c>
      <c r="F152" t="n">
        <v>509</v>
      </c>
      <c r="G152" t="inlineStr">
        <is>
          <t>Broiler starter</t>
        </is>
      </c>
      <c r="H152" t="n">
        <v>31.9</v>
      </c>
      <c r="I152" t="n">
        <v>62</v>
      </c>
      <c r="J152" t="n">
        <v>27.3</v>
      </c>
      <c r="K152" t="inlineStr">
        <is>
          <t>Dry</t>
        </is>
      </c>
      <c r="L152" t="n">
        <v>23</v>
      </c>
      <c r="M152" t="n">
        <v>0</v>
      </c>
      <c r="N152" t="n">
        <v>0</v>
      </c>
      <c r="O152" t="n">
        <v>0</v>
      </c>
      <c r="Q152" t="inlineStr">
        <is>
          <t>S02</t>
        </is>
      </c>
    </row>
    <row r="153">
      <c r="A153" t="inlineStr">
        <is>
          <t>2026-08-24</t>
        </is>
      </c>
      <c r="B153" t="inlineStr">
        <is>
          <t>BRO-P04</t>
        </is>
      </c>
      <c r="C153" t="n">
        <v>20</v>
      </c>
      <c r="D153" t="n">
        <v>0</v>
      </c>
      <c r="E153" t="n">
        <v>0</v>
      </c>
      <c r="F153" t="n">
        <v>509</v>
      </c>
      <c r="G153" t="inlineStr">
        <is>
          <t>Broiler starter</t>
        </is>
      </c>
      <c r="H153" t="n">
        <v>39</v>
      </c>
      <c r="I153" t="n">
        <v>63.1</v>
      </c>
      <c r="J153" t="n">
        <v>31.1</v>
      </c>
      <c r="K153" t="inlineStr">
        <is>
          <t>Dry</t>
        </is>
      </c>
      <c r="L153" t="n">
        <v>23</v>
      </c>
      <c r="M153" t="n">
        <v>0</v>
      </c>
      <c r="N153" t="n">
        <v>0</v>
      </c>
      <c r="O153" t="n">
        <v>0</v>
      </c>
      <c r="Q153" t="inlineStr">
        <is>
          <t>S02</t>
        </is>
      </c>
    </row>
    <row r="154">
      <c r="A154" t="inlineStr">
        <is>
          <t>2026-08-25</t>
        </is>
      </c>
      <c r="B154" t="inlineStr">
        <is>
          <t>BRO-P04</t>
        </is>
      </c>
      <c r="C154" t="n">
        <v>21</v>
      </c>
      <c r="D154" t="n">
        <v>0</v>
      </c>
      <c r="E154" t="n">
        <v>0</v>
      </c>
      <c r="F154" t="n">
        <v>509</v>
      </c>
      <c r="G154" t="inlineStr">
        <is>
          <t>Broiler starter</t>
        </is>
      </c>
      <c r="H154" t="n">
        <v>41</v>
      </c>
      <c r="I154" t="n">
        <v>69.7</v>
      </c>
      <c r="J154" t="n">
        <v>28.3</v>
      </c>
      <c r="K154" t="inlineStr">
        <is>
          <t>Dry</t>
        </is>
      </c>
      <c r="L154" t="n">
        <v>23</v>
      </c>
      <c r="M154" t="n">
        <v>0</v>
      </c>
      <c r="N154" t="n">
        <v>0</v>
      </c>
      <c r="O154" t="n">
        <v>0</v>
      </c>
      <c r="Q154" t="inlineStr">
        <is>
          <t>S02</t>
        </is>
      </c>
    </row>
    <row r="155">
      <c r="A155" t="inlineStr">
        <is>
          <t>2026-08-26</t>
        </is>
      </c>
      <c r="B155" t="inlineStr">
        <is>
          <t>BRO-P04</t>
        </is>
      </c>
      <c r="C155" t="n">
        <v>22</v>
      </c>
      <c r="D155" t="n">
        <v>0</v>
      </c>
      <c r="E155" t="n">
        <v>0</v>
      </c>
      <c r="F155" t="n">
        <v>509</v>
      </c>
      <c r="G155" t="inlineStr">
        <is>
          <t>Broiler starter</t>
        </is>
      </c>
      <c r="H155" t="n">
        <v>39.3</v>
      </c>
      <c r="I155" t="n">
        <v>65.59999999999999</v>
      </c>
      <c r="J155" t="n">
        <v>27.2</v>
      </c>
      <c r="K155" t="inlineStr">
        <is>
          <t>Dry</t>
        </is>
      </c>
      <c r="M155" t="n">
        <v>0</v>
      </c>
      <c r="N155" t="n">
        <v>0</v>
      </c>
      <c r="O155" t="n">
        <v>0</v>
      </c>
      <c r="Q155" t="inlineStr">
        <is>
          <t>S02</t>
        </is>
      </c>
    </row>
    <row r="156">
      <c r="A156" t="inlineStr">
        <is>
          <t>2026-08-27</t>
        </is>
      </c>
      <c r="B156" t="inlineStr">
        <is>
          <t>BRO-P04</t>
        </is>
      </c>
      <c r="C156" t="n">
        <v>23</v>
      </c>
      <c r="D156" t="n">
        <v>0</v>
      </c>
      <c r="E156" t="n">
        <v>0</v>
      </c>
      <c r="F156" t="n">
        <v>509</v>
      </c>
      <c r="G156" t="inlineStr">
        <is>
          <t>Broiler starter</t>
        </is>
      </c>
      <c r="H156" t="n">
        <v>38.2</v>
      </c>
      <c r="I156" t="n">
        <v>64.59999999999999</v>
      </c>
      <c r="J156" t="n">
        <v>26.6</v>
      </c>
      <c r="K156" t="inlineStr">
        <is>
          <t>Dry</t>
        </is>
      </c>
      <c r="M156" t="n">
        <v>0</v>
      </c>
      <c r="N156" t="n">
        <v>0</v>
      </c>
      <c r="O156" t="n">
        <v>0</v>
      </c>
      <c r="Q156" t="inlineStr">
        <is>
          <t>S02</t>
        </is>
      </c>
    </row>
    <row r="157">
      <c r="A157" t="inlineStr">
        <is>
          <t>2026-08-28</t>
        </is>
      </c>
      <c r="B157" t="inlineStr">
        <is>
          <t>BRO-P04</t>
        </is>
      </c>
      <c r="C157" t="n">
        <v>24</v>
      </c>
      <c r="D157" t="n">
        <v>0</v>
      </c>
      <c r="E157" t="n">
        <v>0</v>
      </c>
      <c r="F157" t="n">
        <v>509</v>
      </c>
      <c r="G157" t="inlineStr">
        <is>
          <t>Broiler grower</t>
        </is>
      </c>
      <c r="H157" t="n">
        <v>45.5</v>
      </c>
      <c r="I157" t="n">
        <v>85.40000000000001</v>
      </c>
      <c r="J157" t="n">
        <v>26.8</v>
      </c>
      <c r="K157" t="inlineStr">
        <is>
          <t>Dry</t>
        </is>
      </c>
      <c r="M157" t="n">
        <v>0</v>
      </c>
      <c r="N157" t="n">
        <v>0</v>
      </c>
      <c r="O157" t="n">
        <v>0</v>
      </c>
      <c r="Q157" t="inlineStr">
        <is>
          <t>S02</t>
        </is>
      </c>
    </row>
    <row r="158">
      <c r="A158" t="inlineStr">
        <is>
          <t>2026-08-29</t>
        </is>
      </c>
      <c r="B158" t="inlineStr">
        <is>
          <t>BRO-P04</t>
        </is>
      </c>
      <c r="C158" t="n">
        <v>25</v>
      </c>
      <c r="D158" t="n">
        <v>0</v>
      </c>
      <c r="E158" t="n">
        <v>0</v>
      </c>
      <c r="F158" t="n">
        <v>509</v>
      </c>
      <c r="G158" t="inlineStr">
        <is>
          <t>Broiler grower</t>
        </is>
      </c>
      <c r="H158" t="n">
        <v>43.6</v>
      </c>
      <c r="I158" t="n">
        <v>69.90000000000001</v>
      </c>
      <c r="J158" t="n">
        <v>25.9</v>
      </c>
      <c r="K158" t="inlineStr">
        <is>
          <t>Dry</t>
        </is>
      </c>
      <c r="M158" t="n">
        <v>0</v>
      </c>
      <c r="N158" t="n">
        <v>0</v>
      </c>
      <c r="O158" t="n">
        <v>0</v>
      </c>
      <c r="Q158" t="inlineStr">
        <is>
          <t>S02</t>
        </is>
      </c>
    </row>
    <row r="159">
      <c r="A159" t="inlineStr">
        <is>
          <t>2026-08-30</t>
        </is>
      </c>
      <c r="B159" t="inlineStr">
        <is>
          <t>BRO-P04</t>
        </is>
      </c>
      <c r="C159" t="n">
        <v>26</v>
      </c>
      <c r="D159" t="n">
        <v>0</v>
      </c>
      <c r="E159" t="n">
        <v>0</v>
      </c>
      <c r="F159" t="n">
        <v>509</v>
      </c>
      <c r="G159" t="inlineStr">
        <is>
          <t>Broiler grower</t>
        </is>
      </c>
      <c r="H159" t="n">
        <v>48.9</v>
      </c>
      <c r="I159" t="n">
        <v>96.40000000000001</v>
      </c>
      <c r="J159" t="n">
        <v>27.9</v>
      </c>
      <c r="K159" t="inlineStr">
        <is>
          <t>Dry</t>
        </is>
      </c>
      <c r="M159" t="n">
        <v>0</v>
      </c>
      <c r="N159" t="n">
        <v>0</v>
      </c>
      <c r="O159" t="n">
        <v>0</v>
      </c>
      <c r="Q159" t="inlineStr">
        <is>
          <t>S02</t>
        </is>
      </c>
    </row>
    <row r="160">
      <c r="A160" t="inlineStr">
        <is>
          <t>2026-08-31</t>
        </is>
      </c>
      <c r="B160" t="inlineStr">
        <is>
          <t>BRO-P04</t>
        </is>
      </c>
      <c r="C160" t="n">
        <v>27</v>
      </c>
      <c r="D160" t="n">
        <v>0</v>
      </c>
      <c r="E160" t="n">
        <v>0</v>
      </c>
      <c r="F160" t="n">
        <v>509</v>
      </c>
      <c r="G160" t="inlineStr">
        <is>
          <t>Broiler grower</t>
        </is>
      </c>
      <c r="H160" t="n">
        <v>49.7</v>
      </c>
      <c r="I160" t="n">
        <v>84.7</v>
      </c>
      <c r="J160" t="n">
        <v>24.6</v>
      </c>
      <c r="K160" t="inlineStr">
        <is>
          <t>Dry</t>
        </is>
      </c>
      <c r="M160" t="n">
        <v>0</v>
      </c>
      <c r="N160" t="n">
        <v>0</v>
      </c>
      <c r="O160" t="n">
        <v>0</v>
      </c>
      <c r="Q160" t="inlineStr">
        <is>
          <t>S02</t>
        </is>
      </c>
    </row>
    <row r="161">
      <c r="A161" t="inlineStr">
        <is>
          <t>2026-09-01</t>
        </is>
      </c>
      <c r="B161" t="inlineStr">
        <is>
          <t>BRO-P04</t>
        </is>
      </c>
      <c r="C161" t="n">
        <v>28</v>
      </c>
      <c r="D161" t="n">
        <v>0</v>
      </c>
      <c r="E161" t="n">
        <v>0</v>
      </c>
      <c r="F161" t="n">
        <v>509</v>
      </c>
      <c r="G161" t="inlineStr">
        <is>
          <t>Broiler grower</t>
        </is>
      </c>
      <c r="H161" t="n">
        <v>50.1</v>
      </c>
      <c r="I161" t="n">
        <v>89.7</v>
      </c>
      <c r="J161" t="n">
        <v>26.2</v>
      </c>
      <c r="K161" t="inlineStr">
        <is>
          <t>Dry</t>
        </is>
      </c>
      <c r="M161" t="n">
        <v>0</v>
      </c>
      <c r="N161" t="n">
        <v>0</v>
      </c>
      <c r="O161" t="n">
        <v>0</v>
      </c>
      <c r="Q161" t="inlineStr">
        <is>
          <t>S02</t>
        </is>
      </c>
    </row>
    <row r="162">
      <c r="A162" t="inlineStr">
        <is>
          <t>2026-09-02</t>
        </is>
      </c>
      <c r="B162" t="inlineStr">
        <is>
          <t>BRO-P04</t>
        </is>
      </c>
      <c r="C162" t="n">
        <v>29</v>
      </c>
      <c r="D162" t="n">
        <v>0</v>
      </c>
      <c r="E162" t="n">
        <v>0</v>
      </c>
      <c r="F162" t="n">
        <v>509</v>
      </c>
      <c r="G162" t="inlineStr">
        <is>
          <t>Broiler grower</t>
        </is>
      </c>
      <c r="H162" t="n">
        <v>50.4</v>
      </c>
      <c r="I162" t="n">
        <v>83.59999999999999</v>
      </c>
      <c r="J162" t="n">
        <v>28.5</v>
      </c>
      <c r="K162" t="inlineStr">
        <is>
          <t>Dry</t>
        </is>
      </c>
      <c r="M162" t="n">
        <v>0</v>
      </c>
      <c r="N162" t="n">
        <v>0</v>
      </c>
      <c r="O162" t="n">
        <v>0</v>
      </c>
      <c r="Q162" t="inlineStr">
        <is>
          <t>S02</t>
        </is>
      </c>
    </row>
    <row r="163">
      <c r="A163" t="inlineStr">
        <is>
          <t>2026-09-03</t>
        </is>
      </c>
      <c r="B163" t="inlineStr">
        <is>
          <t>BRO-P04</t>
        </is>
      </c>
      <c r="C163" t="n">
        <v>30</v>
      </c>
      <c r="D163" t="n">
        <v>0</v>
      </c>
      <c r="E163" t="n">
        <v>0</v>
      </c>
      <c r="F163" t="n">
        <v>509</v>
      </c>
      <c r="G163" t="inlineStr">
        <is>
          <t>Broiler grower</t>
        </is>
      </c>
      <c r="H163" t="n">
        <v>51.8</v>
      </c>
      <c r="I163" t="n">
        <v>82.3</v>
      </c>
      <c r="J163" t="n">
        <v>24.5</v>
      </c>
      <c r="K163" t="inlineStr">
        <is>
          <t>Dry</t>
        </is>
      </c>
      <c r="M163" t="n">
        <v>0</v>
      </c>
      <c r="N163" t="n">
        <v>0</v>
      </c>
      <c r="O163" t="n">
        <v>0</v>
      </c>
      <c r="Q163" t="inlineStr">
        <is>
          <t>S02</t>
        </is>
      </c>
    </row>
    <row r="164">
      <c r="A164" t="inlineStr">
        <is>
          <t>2026-09-04</t>
        </is>
      </c>
      <c r="B164" t="inlineStr">
        <is>
          <t>BRO-P04</t>
        </is>
      </c>
      <c r="C164" t="n">
        <v>31</v>
      </c>
      <c r="D164" t="n">
        <v>0</v>
      </c>
      <c r="E164" t="n">
        <v>0</v>
      </c>
      <c r="F164" t="n">
        <v>509</v>
      </c>
      <c r="G164" t="inlineStr">
        <is>
          <t>Broiler grower</t>
        </is>
      </c>
      <c r="H164" t="n">
        <v>52.4</v>
      </c>
      <c r="I164" t="n">
        <v>88.90000000000001</v>
      </c>
      <c r="J164" t="n">
        <v>26.3</v>
      </c>
      <c r="K164" t="inlineStr">
        <is>
          <t>Dry</t>
        </is>
      </c>
      <c r="M164" t="n">
        <v>0</v>
      </c>
      <c r="N164" t="n">
        <v>0</v>
      </c>
      <c r="O164" t="n">
        <v>0</v>
      </c>
      <c r="Q164" t="inlineStr">
        <is>
          <t>S02</t>
        </is>
      </c>
    </row>
    <row r="165">
      <c r="A165" t="inlineStr">
        <is>
          <t>2026-09-05</t>
        </is>
      </c>
      <c r="B165" t="inlineStr">
        <is>
          <t>BRO-P04</t>
        </is>
      </c>
      <c r="C165" t="n">
        <v>32</v>
      </c>
      <c r="D165" t="n">
        <v>0</v>
      </c>
      <c r="E165" t="n">
        <v>0</v>
      </c>
      <c r="F165" t="n">
        <v>509</v>
      </c>
      <c r="G165" t="inlineStr">
        <is>
          <t>Broiler grower</t>
        </is>
      </c>
      <c r="H165" t="n">
        <v>53.7</v>
      </c>
      <c r="I165" t="n">
        <v>93.5</v>
      </c>
      <c r="J165" t="n">
        <v>26</v>
      </c>
      <c r="K165" t="inlineStr">
        <is>
          <t>Dry</t>
        </is>
      </c>
      <c r="M165" t="n">
        <v>0</v>
      </c>
      <c r="N165" t="n">
        <v>0</v>
      </c>
      <c r="O165" t="n">
        <v>0</v>
      </c>
      <c r="Q165" t="inlineStr">
        <is>
          <t>S02</t>
        </is>
      </c>
    </row>
    <row r="166">
      <c r="A166" t="inlineStr">
        <is>
          <t>2026-09-06</t>
        </is>
      </c>
      <c r="B166" t="inlineStr">
        <is>
          <t>BRO-P04</t>
        </is>
      </c>
      <c r="C166" t="n">
        <v>33</v>
      </c>
      <c r="D166" t="n">
        <v>0</v>
      </c>
      <c r="E166" t="n">
        <v>0</v>
      </c>
      <c r="F166" t="n">
        <v>509</v>
      </c>
      <c r="G166" t="inlineStr">
        <is>
          <t>Broiler grower</t>
        </is>
      </c>
      <c r="H166" t="n">
        <v>52.5</v>
      </c>
      <c r="I166" t="n">
        <v>102.5</v>
      </c>
      <c r="J166" t="n">
        <v>24.9</v>
      </c>
      <c r="K166" t="inlineStr">
        <is>
          <t>Dry</t>
        </is>
      </c>
      <c r="M166" t="n">
        <v>0</v>
      </c>
      <c r="N166" t="n">
        <v>0</v>
      </c>
      <c r="O166" t="n">
        <v>0</v>
      </c>
      <c r="Q166" t="inlineStr">
        <is>
          <t>S02</t>
        </is>
      </c>
    </row>
    <row r="167">
      <c r="A167" t="inlineStr">
        <is>
          <t>2026-09-07</t>
        </is>
      </c>
      <c r="B167" t="inlineStr">
        <is>
          <t>BRO-P04</t>
        </is>
      </c>
      <c r="C167" t="n">
        <v>34</v>
      </c>
      <c r="D167" t="n">
        <v>0</v>
      </c>
      <c r="E167" t="n">
        <v>0</v>
      </c>
      <c r="F167" t="n">
        <v>509</v>
      </c>
      <c r="G167" t="inlineStr">
        <is>
          <t>Broiler grower</t>
        </is>
      </c>
      <c r="H167" t="n">
        <v>56</v>
      </c>
      <c r="I167" t="n">
        <v>94.2</v>
      </c>
      <c r="J167" t="n">
        <v>23.9</v>
      </c>
      <c r="K167" t="inlineStr">
        <is>
          <t>Dry</t>
        </is>
      </c>
      <c r="M167" t="n">
        <v>0</v>
      </c>
      <c r="N167" t="n">
        <v>0</v>
      </c>
      <c r="O167" t="n">
        <v>0</v>
      </c>
      <c r="Q167" t="inlineStr">
        <is>
          <t>S02</t>
        </is>
      </c>
    </row>
    <row r="168">
      <c r="A168" t="inlineStr">
        <is>
          <t>2026-09-08</t>
        </is>
      </c>
      <c r="B168" t="inlineStr">
        <is>
          <t>BRO-P04</t>
        </is>
      </c>
      <c r="C168" t="n">
        <v>35</v>
      </c>
      <c r="D168" t="n">
        <v>0</v>
      </c>
      <c r="E168" t="n">
        <v>0</v>
      </c>
      <c r="F168" t="n">
        <v>509</v>
      </c>
      <c r="G168" t="inlineStr">
        <is>
          <t>Broiler finisher</t>
        </is>
      </c>
      <c r="H168" t="n">
        <v>55.7</v>
      </c>
      <c r="I168" t="n">
        <v>97.40000000000001</v>
      </c>
      <c r="J168" t="n">
        <v>24.2</v>
      </c>
      <c r="K168" t="inlineStr">
        <is>
          <t>Dry</t>
        </is>
      </c>
      <c r="M168" t="n">
        <v>0</v>
      </c>
      <c r="N168" t="n">
        <v>0</v>
      </c>
      <c r="O168" t="n">
        <v>0</v>
      </c>
      <c r="Q168" t="inlineStr">
        <is>
          <t>S02</t>
        </is>
      </c>
    </row>
    <row r="169">
      <c r="A169" t="inlineStr">
        <is>
          <t>2026-09-09</t>
        </is>
      </c>
      <c r="B169" t="inlineStr">
        <is>
          <t>BRO-P04</t>
        </is>
      </c>
      <c r="C169" t="n">
        <v>36</v>
      </c>
      <c r="D169" t="n">
        <v>0</v>
      </c>
      <c r="E169" t="n">
        <v>0</v>
      </c>
      <c r="F169" t="n">
        <v>509</v>
      </c>
      <c r="G169" t="inlineStr">
        <is>
          <t>Broiler finisher</t>
        </is>
      </c>
      <c r="H169" t="n">
        <v>61.4</v>
      </c>
      <c r="I169" t="n">
        <v>101.9</v>
      </c>
      <c r="J169" t="n">
        <v>26</v>
      </c>
      <c r="K169" t="inlineStr">
        <is>
          <t>Dry</t>
        </is>
      </c>
      <c r="M169" t="n">
        <v>0</v>
      </c>
      <c r="N169" t="n">
        <v>0</v>
      </c>
      <c r="O169" t="n">
        <v>0</v>
      </c>
      <c r="Q169" t="inlineStr">
        <is>
          <t>S02</t>
        </is>
      </c>
    </row>
    <row r="170">
      <c r="A170" t="inlineStr">
        <is>
          <t>2026-09-10</t>
        </is>
      </c>
      <c r="B170" t="inlineStr">
        <is>
          <t>BRO-P04</t>
        </is>
      </c>
      <c r="C170" t="n">
        <v>37</v>
      </c>
      <c r="D170" t="n">
        <v>0</v>
      </c>
      <c r="E170" t="n">
        <v>0</v>
      </c>
      <c r="F170" t="n">
        <v>509</v>
      </c>
      <c r="G170" t="inlineStr">
        <is>
          <t>Broiler finisher</t>
        </is>
      </c>
      <c r="H170" t="n">
        <v>59.3</v>
      </c>
      <c r="I170" t="n">
        <v>112.4</v>
      </c>
      <c r="J170" t="n">
        <v>27.5</v>
      </c>
      <c r="K170" t="inlineStr">
        <is>
          <t>Dry</t>
        </is>
      </c>
      <c r="M170" t="n">
        <v>0</v>
      </c>
      <c r="N170" t="n">
        <v>0</v>
      </c>
      <c r="O170" t="n">
        <v>0</v>
      </c>
      <c r="Q170" t="inlineStr">
        <is>
          <t>S02</t>
        </is>
      </c>
    </row>
    <row r="171">
      <c r="A171" t="inlineStr">
        <is>
          <t>2026-09-11</t>
        </is>
      </c>
      <c r="B171" t="inlineStr">
        <is>
          <t>BRO-P04</t>
        </is>
      </c>
      <c r="C171" t="n">
        <v>38</v>
      </c>
      <c r="D171" t="n">
        <v>0</v>
      </c>
      <c r="E171" t="n">
        <v>0</v>
      </c>
      <c r="F171" t="n">
        <v>509</v>
      </c>
      <c r="G171" t="inlineStr">
        <is>
          <t>Broiler finisher</t>
        </is>
      </c>
      <c r="H171" t="n">
        <v>61.3</v>
      </c>
      <c r="I171" t="n">
        <v>107.6</v>
      </c>
      <c r="J171" t="n">
        <v>27</v>
      </c>
      <c r="K171" t="inlineStr">
        <is>
          <t>Dry</t>
        </is>
      </c>
      <c r="M171" t="n">
        <v>0</v>
      </c>
      <c r="N171" t="n">
        <v>0</v>
      </c>
      <c r="O171" t="n">
        <v>0</v>
      </c>
      <c r="Q171" t="inlineStr">
        <is>
          <t>S02</t>
        </is>
      </c>
    </row>
    <row r="172">
      <c r="A172" t="inlineStr">
        <is>
          <t>2026-09-12</t>
        </is>
      </c>
      <c r="B172" t="inlineStr">
        <is>
          <t>BRO-P04</t>
        </is>
      </c>
      <c r="C172" t="n">
        <v>39</v>
      </c>
      <c r="D172" t="n">
        <v>0</v>
      </c>
      <c r="E172" t="n">
        <v>0</v>
      </c>
      <c r="F172" t="n">
        <v>509</v>
      </c>
      <c r="G172" t="inlineStr">
        <is>
          <t>Broiler finisher</t>
        </is>
      </c>
      <c r="H172" t="n">
        <v>61.5</v>
      </c>
      <c r="I172" t="n">
        <v>114.2</v>
      </c>
      <c r="J172" t="n">
        <v>25.7</v>
      </c>
      <c r="K172" t="inlineStr">
        <is>
          <t>Dry</t>
        </is>
      </c>
      <c r="M172" t="n">
        <v>0</v>
      </c>
      <c r="N172" t="n">
        <v>0</v>
      </c>
      <c r="O172" t="n">
        <v>0</v>
      </c>
      <c r="Q172" t="inlineStr">
        <is>
          <t>S02</t>
        </is>
      </c>
    </row>
    <row r="173">
      <c r="A173" t="inlineStr">
        <is>
          <t>2026-09-13</t>
        </is>
      </c>
      <c r="B173" t="inlineStr">
        <is>
          <t>BRO-P04</t>
        </is>
      </c>
      <c r="C173" t="n">
        <v>40</v>
      </c>
      <c r="D173" t="n">
        <v>0</v>
      </c>
      <c r="E173" t="n">
        <v>0</v>
      </c>
      <c r="F173" t="n">
        <v>509</v>
      </c>
      <c r="G173" t="inlineStr">
        <is>
          <t>Broiler finisher</t>
        </is>
      </c>
      <c r="H173" t="n">
        <v>63.9</v>
      </c>
      <c r="I173" t="n">
        <v>126.9</v>
      </c>
      <c r="J173" t="n">
        <v>24.7</v>
      </c>
      <c r="K173" t="inlineStr">
        <is>
          <t>Dry</t>
        </is>
      </c>
      <c r="M173" t="n">
        <v>0</v>
      </c>
      <c r="N173" t="n">
        <v>0</v>
      </c>
      <c r="O173" t="n">
        <v>0</v>
      </c>
      <c r="Q173" t="inlineStr">
        <is>
          <t>S02</t>
        </is>
      </c>
    </row>
    <row r="174">
      <c r="A174" t="inlineStr">
        <is>
          <t>2026-09-14</t>
        </is>
      </c>
      <c r="B174" t="inlineStr">
        <is>
          <t>BRO-P04</t>
        </is>
      </c>
      <c r="C174" t="n">
        <v>41</v>
      </c>
      <c r="D174" t="n">
        <v>0</v>
      </c>
      <c r="E174" t="n">
        <v>0</v>
      </c>
      <c r="F174" t="n">
        <v>509</v>
      </c>
      <c r="G174" t="inlineStr">
        <is>
          <t>Broiler finisher</t>
        </is>
      </c>
      <c r="H174" t="n">
        <v>69.2</v>
      </c>
      <c r="I174" t="n">
        <v>138.4</v>
      </c>
      <c r="J174" t="n">
        <v>24.4</v>
      </c>
      <c r="K174" t="inlineStr">
        <is>
          <t>Dry</t>
        </is>
      </c>
      <c r="M174" t="n">
        <v>0</v>
      </c>
      <c r="N174" t="n">
        <v>0</v>
      </c>
      <c r="O174" t="n">
        <v>0</v>
      </c>
      <c r="Q174" t="inlineStr">
        <is>
          <t>S02</t>
        </is>
      </c>
    </row>
    <row r="175">
      <c r="A175" t="inlineStr">
        <is>
          <t>2026-09-15</t>
        </is>
      </c>
      <c r="B175" t="inlineStr">
        <is>
          <t>BRO-P04</t>
        </is>
      </c>
      <c r="C175" t="n">
        <v>42</v>
      </c>
      <c r="D175" t="n">
        <v>0</v>
      </c>
      <c r="E175" t="n">
        <v>0</v>
      </c>
      <c r="F175" t="n">
        <v>509</v>
      </c>
      <c r="G175" t="inlineStr">
        <is>
          <t>Broiler finisher</t>
        </is>
      </c>
      <c r="H175" t="n">
        <v>61.5</v>
      </c>
      <c r="I175" t="n">
        <v>118.1</v>
      </c>
      <c r="J175" t="n">
        <v>25.2</v>
      </c>
      <c r="K175" t="inlineStr">
        <is>
          <t>Dry</t>
        </is>
      </c>
      <c r="M175" t="n">
        <v>0</v>
      </c>
      <c r="N175" t="n">
        <v>0</v>
      </c>
      <c r="O175" t="n">
        <v>0</v>
      </c>
      <c r="Q175" t="inlineStr">
        <is>
          <t>S02</t>
        </is>
      </c>
    </row>
  </sheetData>
  <mergeCells count="1">
    <mergeCell ref="A1:Q1"/>
  </mergeCells>
  <dataValidations count="2">
    <dataValidation sqref="G3:G500" showDropDown="0" showInputMessage="0" showErrorMessage="1" allowBlank="1" errorTitle="Invalid entry" error="Please choose a value from the list." type="list">
      <formula1>LIST_FEED_TYPE</formula1>
      <formula2>0</formula2>
    </dataValidation>
    <dataValidation sqref="K3:K500" showDropDown="0" showInputMessage="0" showErrorMessage="1" allowBlank="1" errorTitle="Invalid entry" error="Please choose a value from the list." type="list">
      <formula1>LIST_LITTER_CONDITION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FFC09000"/>
    <outlinePr summaryBelow="1" summaryRight="1"/>
    <pageSetUpPr/>
  </sheetPr>
  <dimension ref="A1:F27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4" customWidth="1" min="1" max="3"/>
    <col width="15" customWidth="1" min="4" max="4"/>
    <col width="16" customWidth="1" min="5" max="5"/>
    <col width="18" customWidth="1" min="6" max="6"/>
  </cols>
  <sheetData>
    <row r="1">
      <c r="A1" s="1" t="inlineStr">
        <is>
          <t>PURPOSE: Weight-for-age vs breed standard, uniformity, FCR denominator.   |   CADENCE: Weekly (broilers) / monthly (layers)   |   ENTERED BY: Attendant</t>
        </is>
      </c>
    </row>
    <row r="2">
      <c r="A2" s="10" t="inlineStr">
        <is>
          <t>date</t>
        </is>
      </c>
      <c r="B2" s="10" t="inlineStr">
        <is>
          <t>batch_code</t>
        </is>
      </c>
      <c r="C2" s="10" t="inlineStr">
        <is>
          <t>age_days</t>
        </is>
      </c>
      <c r="D2" s="10" t="inlineStr">
        <is>
          <t>sample_size</t>
        </is>
      </c>
      <c r="E2" s="10" t="inlineStr">
        <is>
          <t>avg_weight_g</t>
        </is>
      </c>
      <c r="F2" s="10" t="inlineStr">
        <is>
          <t>uniformity_pct</t>
        </is>
      </c>
    </row>
    <row r="3">
      <c r="A3" s="8" t="inlineStr">
        <is>
          <t>2026-09-01</t>
        </is>
      </c>
      <c r="B3" s="7" t="inlineStr">
        <is>
          <t>BRO-24</t>
        </is>
      </c>
      <c r="C3" s="7" t="n">
        <v>22</v>
      </c>
      <c r="D3" s="7" t="n">
        <v>25</v>
      </c>
      <c r="E3" s="7" t="n">
        <v>1180</v>
      </c>
      <c r="F3" s="7" t="n">
        <v>88</v>
      </c>
    </row>
    <row r="4">
      <c r="A4" t="inlineStr">
        <is>
          <t>2025-10-17</t>
        </is>
      </c>
      <c r="B4" t="inlineStr">
        <is>
          <t>BRO-P01</t>
        </is>
      </c>
      <c r="C4" t="n">
        <v>7</v>
      </c>
      <c r="D4" t="n">
        <v>25</v>
      </c>
      <c r="E4" t="n">
        <v>370</v>
      </c>
      <c r="F4" t="n">
        <v>88</v>
      </c>
    </row>
    <row r="5">
      <c r="A5" t="inlineStr">
        <is>
          <t>2025-10-24</t>
        </is>
      </c>
      <c r="B5" t="inlineStr">
        <is>
          <t>BRO-P01</t>
        </is>
      </c>
      <c r="C5" t="n">
        <v>14</v>
      </c>
      <c r="D5" t="n">
        <v>25</v>
      </c>
      <c r="E5" t="n">
        <v>703</v>
      </c>
      <c r="F5" t="n">
        <v>92</v>
      </c>
    </row>
    <row r="6">
      <c r="A6" t="inlineStr">
        <is>
          <t>2025-10-31</t>
        </is>
      </c>
      <c r="B6" t="inlineStr">
        <is>
          <t>BRO-P01</t>
        </is>
      </c>
      <c r="C6" t="n">
        <v>21</v>
      </c>
      <c r="D6" t="n">
        <v>25</v>
      </c>
      <c r="E6" t="n">
        <v>992</v>
      </c>
      <c r="F6" t="n">
        <v>86</v>
      </c>
    </row>
    <row r="7">
      <c r="A7" t="inlineStr">
        <is>
          <t>2025-11-07</t>
        </is>
      </c>
      <c r="B7" t="inlineStr">
        <is>
          <t>BRO-P01</t>
        </is>
      </c>
      <c r="C7" t="n">
        <v>28</v>
      </c>
      <c r="D7" t="n">
        <v>25</v>
      </c>
      <c r="E7" t="n">
        <v>1349</v>
      </c>
      <c r="F7" t="n">
        <v>84</v>
      </c>
    </row>
    <row r="8">
      <c r="A8" t="inlineStr">
        <is>
          <t>2025-11-14</t>
        </is>
      </c>
      <c r="B8" t="inlineStr">
        <is>
          <t>BRO-P01</t>
        </is>
      </c>
      <c r="C8" t="n">
        <v>35</v>
      </c>
      <c r="D8" t="n">
        <v>25</v>
      </c>
      <c r="E8" t="n">
        <v>1584</v>
      </c>
      <c r="F8" t="n">
        <v>91</v>
      </c>
    </row>
    <row r="9">
      <c r="A9" t="inlineStr">
        <is>
          <t>2025-11-21</t>
        </is>
      </c>
      <c r="B9" t="inlineStr">
        <is>
          <t>BRO-P01</t>
        </is>
      </c>
      <c r="C9" t="n">
        <v>42</v>
      </c>
      <c r="D9" t="n">
        <v>25</v>
      </c>
      <c r="E9" t="n">
        <v>1934</v>
      </c>
      <c r="F9" t="n">
        <v>89</v>
      </c>
    </row>
    <row r="10">
      <c r="A10" t="inlineStr">
        <is>
          <t>2025-12-27</t>
        </is>
      </c>
      <c r="B10" t="inlineStr">
        <is>
          <t>BRO-P02</t>
        </is>
      </c>
      <c r="C10" t="n">
        <v>7</v>
      </c>
      <c r="D10" t="n">
        <v>25</v>
      </c>
      <c r="E10" t="n">
        <v>365</v>
      </c>
      <c r="F10" t="n">
        <v>81</v>
      </c>
    </row>
    <row r="11">
      <c r="A11" t="inlineStr">
        <is>
          <t>2026-01-03</t>
        </is>
      </c>
      <c r="B11" t="inlineStr">
        <is>
          <t>BRO-P02</t>
        </is>
      </c>
      <c r="C11" t="n">
        <v>14</v>
      </c>
      <c r="D11" t="n">
        <v>25</v>
      </c>
      <c r="E11" t="n">
        <v>649</v>
      </c>
      <c r="F11" t="n">
        <v>75</v>
      </c>
    </row>
    <row r="12">
      <c r="A12" t="inlineStr">
        <is>
          <t>2026-01-10</t>
        </is>
      </c>
      <c r="B12" t="inlineStr">
        <is>
          <t>BRO-P02</t>
        </is>
      </c>
      <c r="C12" t="n">
        <v>21</v>
      </c>
      <c r="D12" t="n">
        <v>25</v>
      </c>
      <c r="E12" t="n">
        <v>827</v>
      </c>
      <c r="F12" t="n">
        <v>76</v>
      </c>
    </row>
    <row r="13">
      <c r="A13" t="inlineStr">
        <is>
          <t>2026-01-17</t>
        </is>
      </c>
      <c r="B13" t="inlineStr">
        <is>
          <t>BRO-P02</t>
        </is>
      </c>
      <c r="C13" t="n">
        <v>28</v>
      </c>
      <c r="D13" t="n">
        <v>25</v>
      </c>
      <c r="E13" t="n">
        <v>1101</v>
      </c>
      <c r="F13" t="n">
        <v>76</v>
      </c>
    </row>
    <row r="14">
      <c r="A14" t="inlineStr">
        <is>
          <t>2026-01-24</t>
        </is>
      </c>
      <c r="B14" t="inlineStr">
        <is>
          <t>BRO-P02</t>
        </is>
      </c>
      <c r="C14" t="n">
        <v>35</v>
      </c>
      <c r="D14" t="n">
        <v>25</v>
      </c>
      <c r="E14" t="n">
        <v>1427</v>
      </c>
      <c r="F14" t="n">
        <v>76</v>
      </c>
    </row>
    <row r="15">
      <c r="A15" t="inlineStr">
        <is>
          <t>2026-01-31</t>
        </is>
      </c>
      <c r="B15" t="inlineStr">
        <is>
          <t>BRO-P02</t>
        </is>
      </c>
      <c r="C15" t="n">
        <v>42</v>
      </c>
      <c r="D15" t="n">
        <v>25</v>
      </c>
      <c r="E15" t="n">
        <v>1665</v>
      </c>
      <c r="F15" t="n">
        <v>81</v>
      </c>
    </row>
    <row r="16">
      <c r="A16" t="inlineStr">
        <is>
          <t>2026-03-12</t>
        </is>
      </c>
      <c r="B16" t="inlineStr">
        <is>
          <t>BRO-P03</t>
        </is>
      </c>
      <c r="C16" t="n">
        <v>7</v>
      </c>
      <c r="D16" t="n">
        <v>25</v>
      </c>
      <c r="E16" t="n">
        <v>356</v>
      </c>
      <c r="F16" t="n">
        <v>89</v>
      </c>
    </row>
    <row r="17">
      <c r="A17" t="inlineStr">
        <is>
          <t>2026-03-19</t>
        </is>
      </c>
      <c r="B17" t="inlineStr">
        <is>
          <t>BRO-P03</t>
        </is>
      </c>
      <c r="C17" t="n">
        <v>14</v>
      </c>
      <c r="D17" t="n">
        <v>25</v>
      </c>
      <c r="E17" t="n">
        <v>722</v>
      </c>
      <c r="F17" t="n">
        <v>87</v>
      </c>
    </row>
    <row r="18">
      <c r="A18" t="inlineStr">
        <is>
          <t>2026-03-26</t>
        </is>
      </c>
      <c r="B18" t="inlineStr">
        <is>
          <t>BRO-P03</t>
        </is>
      </c>
      <c r="C18" t="n">
        <v>21</v>
      </c>
      <c r="D18" t="n">
        <v>25</v>
      </c>
      <c r="E18" t="n">
        <v>968</v>
      </c>
      <c r="F18" t="n">
        <v>83</v>
      </c>
    </row>
    <row r="19">
      <c r="A19" t="inlineStr">
        <is>
          <t>2026-04-02</t>
        </is>
      </c>
      <c r="B19" t="inlineStr">
        <is>
          <t>BRO-P03</t>
        </is>
      </c>
      <c r="C19" t="n">
        <v>28</v>
      </c>
      <c r="D19" t="n">
        <v>25</v>
      </c>
      <c r="E19" t="n">
        <v>1364</v>
      </c>
      <c r="F19" t="n">
        <v>90</v>
      </c>
    </row>
    <row r="20">
      <c r="A20" t="inlineStr">
        <is>
          <t>2026-04-09</t>
        </is>
      </c>
      <c r="B20" t="inlineStr">
        <is>
          <t>BRO-P03</t>
        </is>
      </c>
      <c r="C20" t="n">
        <v>35</v>
      </c>
      <c r="D20" t="n">
        <v>25</v>
      </c>
      <c r="E20" t="n">
        <v>1737</v>
      </c>
      <c r="F20" t="n">
        <v>90</v>
      </c>
    </row>
    <row r="21">
      <c r="A21" t="inlineStr">
        <is>
          <t>2026-04-16</t>
        </is>
      </c>
      <c r="B21" t="inlineStr">
        <is>
          <t>BRO-P03</t>
        </is>
      </c>
      <c r="C21" t="n">
        <v>42</v>
      </c>
      <c r="D21" t="n">
        <v>25</v>
      </c>
      <c r="E21" t="n">
        <v>1873</v>
      </c>
      <c r="F21" t="n">
        <v>84</v>
      </c>
    </row>
    <row r="22">
      <c r="A22" t="inlineStr">
        <is>
          <t>2026-08-11</t>
        </is>
      </c>
      <c r="B22" t="inlineStr">
        <is>
          <t>BRO-P04</t>
        </is>
      </c>
      <c r="C22" t="n">
        <v>7</v>
      </c>
      <c r="D22" t="n">
        <v>25</v>
      </c>
      <c r="E22" t="n">
        <v>345</v>
      </c>
      <c r="F22" t="n">
        <v>83</v>
      </c>
    </row>
    <row r="23">
      <c r="A23" t="inlineStr">
        <is>
          <t>2026-08-18</t>
        </is>
      </c>
      <c r="B23" t="inlineStr">
        <is>
          <t>BRO-P04</t>
        </is>
      </c>
      <c r="C23" t="n">
        <v>14</v>
      </c>
      <c r="D23" t="n">
        <v>25</v>
      </c>
      <c r="E23" t="n">
        <v>715</v>
      </c>
      <c r="F23" t="n">
        <v>89</v>
      </c>
    </row>
    <row r="24">
      <c r="A24" t="inlineStr">
        <is>
          <t>2026-08-25</t>
        </is>
      </c>
      <c r="B24" t="inlineStr">
        <is>
          <t>BRO-P04</t>
        </is>
      </c>
      <c r="C24" t="n">
        <v>21</v>
      </c>
      <c r="D24" t="n">
        <v>25</v>
      </c>
      <c r="E24" t="n">
        <v>949</v>
      </c>
      <c r="F24" t="n">
        <v>87</v>
      </c>
    </row>
    <row r="25">
      <c r="A25" t="inlineStr">
        <is>
          <t>2026-09-01</t>
        </is>
      </c>
      <c r="B25" t="inlineStr">
        <is>
          <t>BRO-P04</t>
        </is>
      </c>
      <c r="C25" t="n">
        <v>28</v>
      </c>
      <c r="D25" t="n">
        <v>25</v>
      </c>
      <c r="E25" t="n">
        <v>1370</v>
      </c>
      <c r="F25" t="n">
        <v>84</v>
      </c>
    </row>
    <row r="26">
      <c r="A26" t="inlineStr">
        <is>
          <t>2026-09-08</t>
        </is>
      </c>
      <c r="B26" t="inlineStr">
        <is>
          <t>BRO-P04</t>
        </is>
      </c>
      <c r="C26" t="n">
        <v>35</v>
      </c>
      <c r="D26" t="n">
        <v>25</v>
      </c>
      <c r="E26" t="n">
        <v>1603</v>
      </c>
      <c r="F26" t="n">
        <v>84</v>
      </c>
    </row>
    <row r="27">
      <c r="A27" t="inlineStr">
        <is>
          <t>2026-09-15</t>
        </is>
      </c>
      <c r="B27" t="inlineStr">
        <is>
          <t>BRO-P04</t>
        </is>
      </c>
      <c r="C27" t="n">
        <v>42</v>
      </c>
      <c r="D27" t="n">
        <v>25</v>
      </c>
      <c r="E27" t="n">
        <v>2009</v>
      </c>
      <c r="F27" t="n">
        <v>92</v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FF548235"/>
    <outlinePr summaryBelow="1" summaryRight="1"/>
    <pageSetUpPr/>
  </sheetPr>
  <dimension ref="A1:F6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4" customWidth="1" min="1" max="4"/>
    <col width="19" customWidth="1" min="5" max="5"/>
    <col width="14" customWidth="1" min="6" max="6"/>
  </cols>
  <sheetData>
    <row r="1">
      <c r="A1" s="1" t="inlineStr">
        <is>
          <t>PURPOSE: Land register; denominator of every per-hectare metric.   |   CADENCE: Once, updated rarely   |   ENTERED BY: Owner</t>
        </is>
      </c>
    </row>
    <row r="2">
      <c r="A2" s="11" t="inlineStr">
        <is>
          <t>plot_code</t>
        </is>
      </c>
      <c r="B2" s="11" t="inlineStr">
        <is>
          <t>plot_name</t>
        </is>
      </c>
      <c r="C2" s="11" t="inlineStr">
        <is>
          <t>hectares</t>
        </is>
      </c>
      <c r="D2" s="11" t="inlineStr">
        <is>
          <t>soil_type</t>
        </is>
      </c>
      <c r="E2" s="11" t="inlineStr">
        <is>
          <t>irrigation_type</t>
        </is>
      </c>
      <c r="F2" s="11" t="inlineStr">
        <is>
          <t>gps</t>
        </is>
      </c>
    </row>
    <row r="3">
      <c r="A3" s="7" t="inlineStr">
        <is>
          <t>P3</t>
        </is>
      </c>
      <c r="B3" s="7" t="inlineStr">
        <is>
          <t>River field</t>
        </is>
      </c>
      <c r="C3" s="7" t="n">
        <v>6</v>
      </c>
      <c r="D3" s="7" t="inlineStr">
        <is>
          <t>Clay loam</t>
        </is>
      </c>
      <c r="E3" s="7" t="inlineStr">
        <is>
          <t>Sprinkler</t>
        </is>
      </c>
      <c r="F3" s="7" t="n"/>
    </row>
    <row r="4">
      <c r="A4" t="inlineStr">
        <is>
          <t>PL1</t>
        </is>
      </c>
      <c r="B4" t="inlineStr">
        <is>
          <t>Home field</t>
        </is>
      </c>
      <c r="C4" t="n">
        <v>10</v>
      </c>
      <c r="D4" t="inlineStr">
        <is>
          <t>Clay loam</t>
        </is>
      </c>
      <c r="E4" t="inlineStr">
        <is>
          <t>Sprinkler</t>
        </is>
      </c>
    </row>
    <row r="5">
      <c r="A5" t="inlineStr">
        <is>
          <t>PL2</t>
        </is>
      </c>
      <c r="B5" t="inlineStr">
        <is>
          <t>Dam field</t>
        </is>
      </c>
      <c r="C5" t="n">
        <v>8</v>
      </c>
      <c r="D5" t="inlineStr">
        <is>
          <t>Sandy loam</t>
        </is>
      </c>
      <c r="E5" t="inlineStr">
        <is>
          <t>Rainfed</t>
        </is>
      </c>
    </row>
    <row r="6">
      <c r="A6" t="inlineStr">
        <is>
          <t>PL3</t>
        </is>
      </c>
      <c r="B6" t="inlineStr">
        <is>
          <t>Valley field</t>
        </is>
      </c>
      <c r="C6" t="n">
        <v>5</v>
      </c>
      <c r="D6" t="inlineStr">
        <is>
          <t>Red clay</t>
        </is>
      </c>
      <c r="E6" t="inlineStr">
        <is>
          <t>Drip</t>
        </is>
      </c>
    </row>
  </sheetData>
  <mergeCells count="1">
    <mergeCell ref="A1:F1"/>
  </mergeCells>
  <dataValidations count="2">
    <dataValidation sqref="D3:D500" showDropDown="0" showInputMessage="0" showErrorMessage="1" allowBlank="1" errorTitle="Invalid entry" error="Please choose a value from the list." type="list">
      <formula1>LIST_SOIL_TYPE</formula1>
      <formula2>0</formula2>
    </dataValidation>
    <dataValidation sqref="E3:E500" showDropDown="0" showInputMessage="0" showErrorMessage="1" allowBlank="1" errorTitle="Invalid entry" error="Please choose a value from the list." type="list">
      <formula1>LIST_IRRIGATION_TYPE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FF548235"/>
    <outlinePr summaryBelow="1" summaryRight="1"/>
    <pageSetUpPr/>
  </sheetPr>
  <dimension ref="A1:L8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7" customWidth="1" min="1" max="1"/>
    <col width="14" customWidth="1" min="2" max="5"/>
    <col width="17" customWidth="1" min="6" max="6"/>
    <col width="14" customWidth="1" min="7" max="9"/>
    <col width="25" customWidth="1" min="10" max="10"/>
    <col width="26" customWidth="1" min="11" max="11"/>
    <col width="14" customWidth="1" min="12" max="12"/>
  </cols>
  <sheetData>
    <row r="1">
      <c r="A1" s="1" t="inlineStr">
        <is>
          <t>PURPOSE: Season x plot x crop anchor record — the crop equivalent of a batch.   |   CADENCE: Per planting event   |   ENTERED BY: Supervisor</t>
        </is>
      </c>
    </row>
    <row r="2">
      <c r="A2" s="11" t="inlineStr">
        <is>
          <t>planting_code</t>
        </is>
      </c>
      <c r="B2" s="11" t="inlineStr">
        <is>
          <t>plot_code</t>
        </is>
      </c>
      <c r="C2" s="11" t="inlineStr">
        <is>
          <t>crop</t>
        </is>
      </c>
      <c r="D2" s="11" t="inlineStr">
        <is>
          <t>variety</t>
        </is>
      </c>
      <c r="E2" s="11" t="inlineStr">
        <is>
          <t>season</t>
        </is>
      </c>
      <c r="F2" s="11" t="inlineStr">
        <is>
          <t>planting_date</t>
        </is>
      </c>
      <c r="G2" s="11" t="inlineStr">
        <is>
          <t>area_ha</t>
        </is>
      </c>
      <c r="H2" s="11" t="inlineStr">
        <is>
          <t>seed_kg</t>
        </is>
      </c>
      <c r="I2" s="11" t="inlineStr">
        <is>
          <t>seed_cost</t>
        </is>
      </c>
      <c r="J2" s="11" t="inlineStr">
        <is>
          <t>expected_harvest_date</t>
        </is>
      </c>
      <c r="K2" s="11" t="inlineStr">
        <is>
          <t>expected_yield_tons_ha</t>
        </is>
      </c>
      <c r="L2" s="11" t="inlineStr">
        <is>
          <t>status</t>
        </is>
      </c>
    </row>
    <row r="3">
      <c r="A3" s="7" t="inlineStr">
        <is>
          <t>MZ-P3-2025A</t>
        </is>
      </c>
      <c r="B3" s="7" t="inlineStr">
        <is>
          <t>P3</t>
        </is>
      </c>
      <c r="C3" s="7" t="inlineStr">
        <is>
          <t>Maize</t>
        </is>
      </c>
      <c r="D3" s="7" t="inlineStr">
        <is>
          <t>SC637</t>
        </is>
      </c>
      <c r="E3" s="7" t="inlineStr">
        <is>
          <t>2025 Summer</t>
        </is>
      </c>
      <c r="F3" s="8" t="inlineStr">
        <is>
          <t>2025-11-15</t>
        </is>
      </c>
      <c r="G3" s="7" t="n">
        <v>6</v>
      </c>
      <c r="H3" s="7" t="n">
        <v>150</v>
      </c>
      <c r="I3" s="7" t="n">
        <v>210</v>
      </c>
      <c r="J3" s="8" t="inlineStr">
        <is>
          <t>2026-04-15</t>
        </is>
      </c>
      <c r="K3" s="7" t="n">
        <v>5.5</v>
      </c>
      <c r="L3" s="7" t="inlineStr">
        <is>
          <t>Growing</t>
        </is>
      </c>
    </row>
    <row r="4">
      <c r="A4" t="inlineStr">
        <is>
          <t>MZ-PL1-25A</t>
        </is>
      </c>
      <c r="B4" t="inlineStr">
        <is>
          <t>PL1</t>
        </is>
      </c>
      <c r="C4" t="inlineStr">
        <is>
          <t>Maize</t>
        </is>
      </c>
      <c r="D4" t="inlineStr">
        <is>
          <t>SC637</t>
        </is>
      </c>
      <c r="E4" t="inlineStr">
        <is>
          <t>2025 Summer</t>
        </is>
      </c>
      <c r="F4" t="inlineStr">
        <is>
          <t>2025-11-20</t>
        </is>
      </c>
      <c r="G4" t="n">
        <v>6</v>
      </c>
      <c r="H4" t="n">
        <v>150</v>
      </c>
      <c r="I4" t="n">
        <v>210</v>
      </c>
      <c r="J4" t="inlineStr">
        <is>
          <t>2026-04-10</t>
        </is>
      </c>
      <c r="K4" t="n">
        <v>5.5</v>
      </c>
      <c r="L4" t="inlineStr">
        <is>
          <t>Harvested</t>
        </is>
      </c>
    </row>
    <row r="5">
      <c r="A5" t="inlineStr">
        <is>
          <t>SB-PL2-25A</t>
        </is>
      </c>
      <c r="B5" t="inlineStr">
        <is>
          <t>PL2</t>
        </is>
      </c>
      <c r="C5" t="inlineStr">
        <is>
          <t>Soyabean</t>
        </is>
      </c>
      <c r="D5" t="inlineStr">
        <is>
          <t>SC Sequel</t>
        </is>
      </c>
      <c r="E5" t="inlineStr">
        <is>
          <t>2025 Summer</t>
        </is>
      </c>
      <c r="F5" t="inlineStr">
        <is>
          <t>2025-11-28</t>
        </is>
      </c>
      <c r="G5" t="n">
        <v>8</v>
      </c>
      <c r="H5" t="n">
        <v>480</v>
      </c>
      <c r="I5" t="n">
        <v>960</v>
      </c>
      <c r="J5" t="inlineStr">
        <is>
          <t>2026-03-25</t>
        </is>
      </c>
      <c r="K5" t="n">
        <v>2.2</v>
      </c>
      <c r="L5" t="inlineStr">
        <is>
          <t>Harvested</t>
        </is>
      </c>
    </row>
    <row r="6">
      <c r="A6" t="inlineStr">
        <is>
          <t>GN-PL3-25A</t>
        </is>
      </c>
      <c r="B6" t="inlineStr">
        <is>
          <t>PL3</t>
        </is>
      </c>
      <c r="C6" t="inlineStr">
        <is>
          <t>Groundnuts</t>
        </is>
      </c>
      <c r="D6" t="inlineStr">
        <is>
          <t>Nyanda</t>
        </is>
      </c>
      <c r="E6" t="inlineStr">
        <is>
          <t>2025 Summer</t>
        </is>
      </c>
      <c r="F6" t="inlineStr">
        <is>
          <t>2025-12-02</t>
        </is>
      </c>
      <c r="G6" t="n">
        <v>5</v>
      </c>
      <c r="H6" t="n">
        <v>300</v>
      </c>
      <c r="I6" t="n">
        <v>450</v>
      </c>
      <c r="J6" t="inlineStr">
        <is>
          <t>2026-04-20</t>
        </is>
      </c>
      <c r="K6" t="n">
        <v>1.5</v>
      </c>
      <c r="L6" t="inlineStr">
        <is>
          <t>Harvested</t>
        </is>
      </c>
    </row>
    <row r="7">
      <c r="A7" t="inlineStr">
        <is>
          <t>TM-PL1-26A</t>
        </is>
      </c>
      <c r="B7" t="inlineStr">
        <is>
          <t>PL1</t>
        </is>
      </c>
      <c r="C7" t="inlineStr">
        <is>
          <t>Tomatoes</t>
        </is>
      </c>
      <c r="D7" t="inlineStr">
        <is>
          <t>Roma VF</t>
        </is>
      </c>
      <c r="E7" t="inlineStr">
        <is>
          <t>2026 Winter</t>
        </is>
      </c>
      <c r="F7" t="inlineStr">
        <is>
          <t>2026-05-10</t>
        </is>
      </c>
      <c r="G7" t="n">
        <v>2</v>
      </c>
      <c r="H7" t="n">
        <v>0.3</v>
      </c>
      <c r="I7" t="n">
        <v>180</v>
      </c>
      <c r="J7" t="inlineStr">
        <is>
          <t>2026-08-15</t>
        </is>
      </c>
      <c r="K7" t="n">
        <v>25</v>
      </c>
      <c r="L7" t="inlineStr">
        <is>
          <t>Harvested</t>
        </is>
      </c>
    </row>
    <row r="8">
      <c r="A8" t="inlineStr">
        <is>
          <t>TM-PL2-26A</t>
        </is>
      </c>
      <c r="B8" t="inlineStr">
        <is>
          <t>PL2</t>
        </is>
      </c>
      <c r="C8" t="inlineStr">
        <is>
          <t>Tomatoes</t>
        </is>
      </c>
      <c r="D8" t="inlineStr">
        <is>
          <t>Roma VF</t>
        </is>
      </c>
      <c r="E8" t="inlineStr">
        <is>
          <t>2026 Winter</t>
        </is>
      </c>
      <c r="F8" t="inlineStr">
        <is>
          <t>2026-06-01</t>
        </is>
      </c>
      <c r="G8" t="n">
        <v>2</v>
      </c>
      <c r="H8" t="n">
        <v>0.3</v>
      </c>
      <c r="I8" t="n">
        <v>180</v>
      </c>
      <c r="J8" t="inlineStr">
        <is>
          <t>2026-09-05</t>
        </is>
      </c>
      <c r="K8" t="n">
        <v>25</v>
      </c>
      <c r="L8" t="inlineStr">
        <is>
          <t>Growing</t>
        </is>
      </c>
    </row>
  </sheetData>
  <mergeCells count="1">
    <mergeCell ref="A1:L1"/>
  </mergeCells>
  <dataValidations count="3">
    <dataValidation sqref="C3:C500" showDropDown="0" showInputMessage="0" showErrorMessage="1" allowBlank="1" errorTitle="Invalid entry" error="Please choose a value from the list." type="list">
      <formula1>LIST_CROP</formula1>
      <formula2>0</formula2>
    </dataValidation>
    <dataValidation sqref="E3:E500" showDropDown="0" showInputMessage="0" showErrorMessage="1" allowBlank="1" errorTitle="Invalid entry" error="Please choose a value from the list." type="list">
      <formula1>LIST_SEASON</formula1>
      <formula2>0</formula2>
    </dataValidation>
    <dataValidation sqref="L3:L500" showDropDown="0" showInputMessage="0" showErrorMessage="1" allowBlank="1" errorTitle="Invalid entry" error="Please choose a value from the list." type="list">
      <formula1>LIST_PLANTING_STATUS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FF548235"/>
    <outlinePr summaryBelow="1" summaryRight="1"/>
    <pageSetUpPr/>
  </sheetPr>
  <dimension ref="A1:M33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4" customWidth="1" min="1" max="1"/>
    <col width="17" customWidth="1" min="2" max="2"/>
    <col width="14" customWidth="1" min="3" max="8"/>
    <col width="16" customWidth="1" min="9" max="9"/>
    <col width="17" customWidth="1" min="10" max="11"/>
    <col width="14" customWidth="1" min="12" max="12"/>
    <col width="15" customWidth="1" min="13" max="13"/>
  </cols>
  <sheetData>
    <row r="1">
      <c r="A1" s="1" t="inlineStr">
        <is>
          <t>PURPOSE: Every input and pass over the field — the crop cost stack.   |   CADENCE: Per operation (a few rows per week per planting)   |   ENTERED BY: Field supervisor</t>
        </is>
      </c>
    </row>
    <row r="2">
      <c r="A2" s="11" t="inlineStr">
        <is>
          <t>date</t>
        </is>
      </c>
      <c r="B2" s="11" t="inlineStr">
        <is>
          <t>planting_code</t>
        </is>
      </c>
      <c r="C2" s="11" t="inlineStr">
        <is>
          <t>op_type</t>
        </is>
      </c>
      <c r="D2" s="11" t="inlineStr">
        <is>
          <t>product</t>
        </is>
      </c>
      <c r="E2" s="11" t="inlineStr">
        <is>
          <t>rate</t>
        </is>
      </c>
      <c r="F2" s="11" t="inlineStr">
        <is>
          <t>quantity</t>
        </is>
      </c>
      <c r="G2" s="11" t="inlineStr">
        <is>
          <t>unit</t>
        </is>
      </c>
      <c r="H2" s="11" t="inlineStr">
        <is>
          <t>input_cost</t>
        </is>
      </c>
      <c r="I2" s="11" t="inlineStr">
        <is>
          <t>labour_hours</t>
        </is>
      </c>
      <c r="J2" s="11" t="inlineStr">
        <is>
          <t>machine_hours</t>
        </is>
      </c>
      <c r="K2" s="11" t="inlineStr">
        <is>
          <t>irrigation_mm</t>
        </is>
      </c>
      <c r="L2" s="11" t="inlineStr">
        <is>
          <t>notes</t>
        </is>
      </c>
      <c r="M2" s="11" t="inlineStr">
        <is>
          <t>recorded_by</t>
        </is>
      </c>
    </row>
    <row r="3">
      <c r="A3" s="8" t="inlineStr">
        <is>
          <t>2025-12-01</t>
        </is>
      </c>
      <c r="B3" s="7" t="inlineStr">
        <is>
          <t>MZ-P3-2025A</t>
        </is>
      </c>
      <c r="C3" s="7" t="inlineStr">
        <is>
          <t>Top dressing</t>
        </is>
      </c>
      <c r="D3" s="7" t="inlineStr">
        <is>
          <t>AN</t>
        </is>
      </c>
      <c r="E3" s="7" t="inlineStr">
        <is>
          <t>150 kg/ha</t>
        </is>
      </c>
      <c r="F3" s="7" t="n">
        <v>900</v>
      </c>
      <c r="G3" s="7" t="inlineStr">
        <is>
          <t>kg</t>
        </is>
      </c>
      <c r="H3" s="7" t="n">
        <v>540</v>
      </c>
      <c r="I3" s="7" t="n">
        <v>12</v>
      </c>
      <c r="J3" s="7" t="n">
        <v>2</v>
      </c>
      <c r="K3" s="7" t="n">
        <v>0</v>
      </c>
      <c r="L3" s="7" t="n"/>
      <c r="M3" s="7" t="inlineStr">
        <is>
          <t>S03</t>
        </is>
      </c>
    </row>
    <row r="4">
      <c r="A4" t="inlineStr">
        <is>
          <t>2025-11-15</t>
        </is>
      </c>
      <c r="B4" t="inlineStr">
        <is>
          <t>MZ-PL1-25A</t>
        </is>
      </c>
      <c r="C4" t="inlineStr">
        <is>
          <t>Land prep</t>
        </is>
      </c>
      <c r="G4" t="inlineStr">
        <is>
          <t>kg</t>
        </is>
      </c>
      <c r="H4" t="n">
        <v>199</v>
      </c>
      <c r="I4" t="n">
        <v>8</v>
      </c>
      <c r="J4" t="n">
        <v>3</v>
      </c>
      <c r="K4" t="n">
        <v>0</v>
      </c>
      <c r="M4" t="inlineStr">
        <is>
          <t>S03</t>
        </is>
      </c>
    </row>
    <row r="5">
      <c r="A5" t="inlineStr">
        <is>
          <t>2025-11-20</t>
        </is>
      </c>
      <c r="B5" t="inlineStr">
        <is>
          <t>MZ-PL1-25A</t>
        </is>
      </c>
      <c r="C5" t="inlineStr">
        <is>
          <t>Planting</t>
        </is>
      </c>
      <c r="G5" t="inlineStr">
        <is>
          <t>kg</t>
        </is>
      </c>
      <c r="H5" t="n">
        <v>0</v>
      </c>
      <c r="I5" t="n">
        <v>6</v>
      </c>
      <c r="J5" t="n">
        <v>1</v>
      </c>
      <c r="K5" t="n">
        <v>0</v>
      </c>
      <c r="M5" t="inlineStr">
        <is>
          <t>S03</t>
        </is>
      </c>
    </row>
    <row r="6">
      <c r="A6" t="inlineStr">
        <is>
          <t>2025-12-15</t>
        </is>
      </c>
      <c r="B6" t="inlineStr">
        <is>
          <t>MZ-PL1-25A</t>
        </is>
      </c>
      <c r="C6" t="inlineStr">
        <is>
          <t>Basal fert</t>
        </is>
      </c>
      <c r="D6" t="inlineStr">
        <is>
          <t>Compound D</t>
        </is>
      </c>
      <c r="E6" t="inlineStr">
        <is>
          <t>300 kg/ha</t>
        </is>
      </c>
      <c r="F6" t="n">
        <v>1800</v>
      </c>
      <c r="G6" t="inlineStr">
        <is>
          <t>kg</t>
        </is>
      </c>
      <c r="H6" t="n">
        <v>518</v>
      </c>
      <c r="I6" t="n">
        <v>4</v>
      </c>
      <c r="J6" t="n">
        <v>1</v>
      </c>
      <c r="K6" t="n">
        <v>0</v>
      </c>
      <c r="M6" t="inlineStr">
        <is>
          <t>S03</t>
        </is>
      </c>
    </row>
    <row r="7">
      <c r="A7" t="inlineStr">
        <is>
          <t>2026-01-02</t>
        </is>
      </c>
      <c r="B7" t="inlineStr">
        <is>
          <t>MZ-PL1-25A</t>
        </is>
      </c>
      <c r="C7" t="inlineStr">
        <is>
          <t>Top dressing</t>
        </is>
      </c>
      <c r="D7" t="inlineStr">
        <is>
          <t>AN</t>
        </is>
      </c>
      <c r="E7" t="inlineStr">
        <is>
          <t>150 kg/ha</t>
        </is>
      </c>
      <c r="F7" t="n">
        <v>900</v>
      </c>
      <c r="G7" t="inlineStr">
        <is>
          <t>kg</t>
        </is>
      </c>
      <c r="H7" t="n">
        <v>371</v>
      </c>
      <c r="I7" t="n">
        <v>3</v>
      </c>
      <c r="J7" t="n">
        <v>1</v>
      </c>
      <c r="K7" t="n">
        <v>0</v>
      </c>
      <c r="M7" t="inlineStr">
        <is>
          <t>S03</t>
        </is>
      </c>
    </row>
    <row r="8">
      <c r="A8" t="inlineStr">
        <is>
          <t>2026-01-31</t>
        </is>
      </c>
      <c r="B8" t="inlineStr">
        <is>
          <t>MZ-PL1-25A</t>
        </is>
      </c>
      <c r="C8" t="inlineStr">
        <is>
          <t>Herbicide</t>
        </is>
      </c>
      <c r="D8" t="inlineStr">
        <is>
          <t>Glyphosate</t>
        </is>
      </c>
      <c r="E8" t="inlineStr">
        <is>
          <t>3 l/ha</t>
        </is>
      </c>
      <c r="F8" t="n">
        <v>18</v>
      </c>
      <c r="G8" t="inlineStr">
        <is>
          <t>litre</t>
        </is>
      </c>
      <c r="H8" t="n">
        <v>139</v>
      </c>
      <c r="I8" t="n">
        <v>3</v>
      </c>
      <c r="J8" t="n">
        <v>0.5</v>
      </c>
      <c r="K8" t="n">
        <v>0</v>
      </c>
      <c r="M8" t="inlineStr">
        <is>
          <t>S03</t>
        </is>
      </c>
    </row>
    <row r="9">
      <c r="A9" t="inlineStr">
        <is>
          <t>2026-02-26</t>
        </is>
      </c>
      <c r="B9" t="inlineStr">
        <is>
          <t>MZ-PL1-25A</t>
        </is>
      </c>
      <c r="C9" t="inlineStr">
        <is>
          <t>Weeding</t>
        </is>
      </c>
      <c r="G9" t="inlineStr">
        <is>
          <t>kg</t>
        </is>
      </c>
      <c r="H9" t="n">
        <v>0</v>
      </c>
      <c r="I9" t="n">
        <v>10</v>
      </c>
      <c r="J9" t="n">
        <v>0</v>
      </c>
      <c r="K9" t="n">
        <v>0</v>
      </c>
      <c r="M9" t="inlineStr">
        <is>
          <t>S03</t>
        </is>
      </c>
    </row>
    <row r="10">
      <c r="A10" t="inlineStr">
        <is>
          <t>2025-11-23</t>
        </is>
      </c>
      <c r="B10" t="inlineStr">
        <is>
          <t>SB-PL2-25A</t>
        </is>
      </c>
      <c r="C10" t="inlineStr">
        <is>
          <t>Land prep</t>
        </is>
      </c>
      <c r="G10" t="inlineStr">
        <is>
          <t>kg</t>
        </is>
      </c>
      <c r="H10" t="n">
        <v>261</v>
      </c>
      <c r="I10" t="n">
        <v>8</v>
      </c>
      <c r="J10" t="n">
        <v>3</v>
      </c>
      <c r="K10" t="n">
        <v>0</v>
      </c>
      <c r="M10" t="inlineStr">
        <is>
          <t>S03</t>
        </is>
      </c>
    </row>
    <row r="11">
      <c r="A11" t="inlineStr">
        <is>
          <t>2025-11-28</t>
        </is>
      </c>
      <c r="B11" t="inlineStr">
        <is>
          <t>SB-PL2-25A</t>
        </is>
      </c>
      <c r="C11" t="inlineStr">
        <is>
          <t>Planting</t>
        </is>
      </c>
      <c r="G11" t="inlineStr">
        <is>
          <t>kg</t>
        </is>
      </c>
      <c r="H11" t="n">
        <v>0</v>
      </c>
      <c r="I11" t="n">
        <v>6</v>
      </c>
      <c r="J11" t="n">
        <v>1</v>
      </c>
      <c r="K11" t="n">
        <v>0</v>
      </c>
      <c r="M11" t="inlineStr">
        <is>
          <t>S03</t>
        </is>
      </c>
    </row>
    <row r="12">
      <c r="A12" t="inlineStr">
        <is>
          <t>2025-12-25</t>
        </is>
      </c>
      <c r="B12" t="inlineStr">
        <is>
          <t>SB-PL2-25A</t>
        </is>
      </c>
      <c r="C12" t="inlineStr">
        <is>
          <t>Basal fert</t>
        </is>
      </c>
      <c r="D12" t="inlineStr">
        <is>
          <t>Compound D</t>
        </is>
      </c>
      <c r="E12" t="inlineStr">
        <is>
          <t>300 kg/ha</t>
        </is>
      </c>
      <c r="F12" t="n">
        <v>2400</v>
      </c>
      <c r="G12" t="inlineStr">
        <is>
          <t>kg</t>
        </is>
      </c>
      <c r="H12" t="n">
        <v>676</v>
      </c>
      <c r="I12" t="n">
        <v>4</v>
      </c>
      <c r="J12" t="n">
        <v>1</v>
      </c>
      <c r="K12" t="n">
        <v>0</v>
      </c>
      <c r="M12" t="inlineStr">
        <is>
          <t>S03</t>
        </is>
      </c>
    </row>
    <row r="13">
      <c r="A13" t="inlineStr">
        <is>
          <t>2026-01-24</t>
        </is>
      </c>
      <c r="B13" t="inlineStr">
        <is>
          <t>SB-PL2-25A</t>
        </is>
      </c>
      <c r="C13" t="inlineStr">
        <is>
          <t>Top dressing</t>
        </is>
      </c>
      <c r="D13" t="inlineStr">
        <is>
          <t>AN</t>
        </is>
      </c>
      <c r="E13" t="inlineStr">
        <is>
          <t>150 kg/ha</t>
        </is>
      </c>
      <c r="F13" t="n">
        <v>1200</v>
      </c>
      <c r="G13" t="inlineStr">
        <is>
          <t>kg</t>
        </is>
      </c>
      <c r="H13" t="n">
        <v>499</v>
      </c>
      <c r="I13" t="n">
        <v>3</v>
      </c>
      <c r="J13" t="n">
        <v>1</v>
      </c>
      <c r="K13" t="n">
        <v>0</v>
      </c>
      <c r="M13" t="inlineStr">
        <is>
          <t>S03</t>
        </is>
      </c>
    </row>
    <row r="14">
      <c r="A14" t="inlineStr">
        <is>
          <t>2026-02-11</t>
        </is>
      </c>
      <c r="B14" t="inlineStr">
        <is>
          <t>SB-PL2-25A</t>
        </is>
      </c>
      <c r="C14" t="inlineStr">
        <is>
          <t>Herbicide</t>
        </is>
      </c>
      <c r="D14" t="inlineStr">
        <is>
          <t>Glyphosate</t>
        </is>
      </c>
      <c r="E14" t="inlineStr">
        <is>
          <t>3 l/ha</t>
        </is>
      </c>
      <c r="F14" t="n">
        <v>24</v>
      </c>
      <c r="G14" t="inlineStr">
        <is>
          <t>litre</t>
        </is>
      </c>
      <c r="H14" t="n">
        <v>179</v>
      </c>
      <c r="I14" t="n">
        <v>3</v>
      </c>
      <c r="J14" t="n">
        <v>0.5</v>
      </c>
      <c r="K14" t="n">
        <v>0</v>
      </c>
      <c r="M14" t="inlineStr">
        <is>
          <t>S03</t>
        </is>
      </c>
    </row>
    <row r="15">
      <c r="A15" t="inlineStr">
        <is>
          <t>2026-03-12</t>
        </is>
      </c>
      <c r="B15" t="inlineStr">
        <is>
          <t>SB-PL2-25A</t>
        </is>
      </c>
      <c r="C15" t="inlineStr">
        <is>
          <t>Weeding</t>
        </is>
      </c>
      <c r="G15" t="inlineStr">
        <is>
          <t>kg</t>
        </is>
      </c>
      <c r="H15" t="n">
        <v>0</v>
      </c>
      <c r="I15" t="n">
        <v>10</v>
      </c>
      <c r="J15" t="n">
        <v>0</v>
      </c>
      <c r="K15" t="n">
        <v>0</v>
      </c>
      <c r="M15" t="inlineStr">
        <is>
          <t>S03</t>
        </is>
      </c>
    </row>
    <row r="16">
      <c r="A16" t="inlineStr">
        <is>
          <t>2025-11-27</t>
        </is>
      </c>
      <c r="B16" t="inlineStr">
        <is>
          <t>GN-PL3-25A</t>
        </is>
      </c>
      <c r="C16" t="inlineStr">
        <is>
          <t>Land prep</t>
        </is>
      </c>
      <c r="G16" t="inlineStr">
        <is>
          <t>kg</t>
        </is>
      </c>
      <c r="H16" t="n">
        <v>177</v>
      </c>
      <c r="I16" t="n">
        <v>8</v>
      </c>
      <c r="J16" t="n">
        <v>3</v>
      </c>
      <c r="K16" t="n">
        <v>0</v>
      </c>
      <c r="M16" t="inlineStr">
        <is>
          <t>S03</t>
        </is>
      </c>
    </row>
    <row r="17">
      <c r="A17" t="inlineStr">
        <is>
          <t>2025-12-02</t>
        </is>
      </c>
      <c r="B17" t="inlineStr">
        <is>
          <t>GN-PL3-25A</t>
        </is>
      </c>
      <c r="C17" t="inlineStr">
        <is>
          <t>Planting</t>
        </is>
      </c>
      <c r="G17" t="inlineStr">
        <is>
          <t>kg</t>
        </is>
      </c>
      <c r="H17" t="n">
        <v>0</v>
      </c>
      <c r="I17" t="n">
        <v>6</v>
      </c>
      <c r="J17" t="n">
        <v>1</v>
      </c>
      <c r="K17" t="n">
        <v>0</v>
      </c>
      <c r="M17" t="inlineStr">
        <is>
          <t>S03</t>
        </is>
      </c>
    </row>
    <row r="18">
      <c r="A18" t="inlineStr">
        <is>
          <t>2026-01-01</t>
        </is>
      </c>
      <c r="B18" t="inlineStr">
        <is>
          <t>GN-PL3-25A</t>
        </is>
      </c>
      <c r="C18" t="inlineStr">
        <is>
          <t>Basal fert</t>
        </is>
      </c>
      <c r="D18" t="inlineStr">
        <is>
          <t>Compound D</t>
        </is>
      </c>
      <c r="E18" t="inlineStr">
        <is>
          <t>300 kg/ha</t>
        </is>
      </c>
      <c r="F18" t="n">
        <v>1500</v>
      </c>
      <c r="G18" t="inlineStr">
        <is>
          <t>kg</t>
        </is>
      </c>
      <c r="H18" t="n">
        <v>439</v>
      </c>
      <c r="I18" t="n">
        <v>4</v>
      </c>
      <c r="J18" t="n">
        <v>1</v>
      </c>
      <c r="K18" t="n">
        <v>0</v>
      </c>
      <c r="M18" t="inlineStr">
        <is>
          <t>S03</t>
        </is>
      </c>
    </row>
    <row r="19">
      <c r="A19" t="inlineStr">
        <is>
          <t>2026-01-26</t>
        </is>
      </c>
      <c r="B19" t="inlineStr">
        <is>
          <t>GN-PL3-25A</t>
        </is>
      </c>
      <c r="C19" t="inlineStr">
        <is>
          <t>Top dressing</t>
        </is>
      </c>
      <c r="D19" t="inlineStr">
        <is>
          <t>AN</t>
        </is>
      </c>
      <c r="E19" t="inlineStr">
        <is>
          <t>150 kg/ha</t>
        </is>
      </c>
      <c r="F19" t="n">
        <v>750</v>
      </c>
      <c r="G19" t="inlineStr">
        <is>
          <t>kg</t>
        </is>
      </c>
      <c r="H19" t="n">
        <v>337</v>
      </c>
      <c r="I19" t="n">
        <v>3</v>
      </c>
      <c r="J19" t="n">
        <v>1</v>
      </c>
      <c r="K19" t="n">
        <v>0</v>
      </c>
      <c r="M19" t="inlineStr">
        <is>
          <t>S03</t>
        </is>
      </c>
    </row>
    <row r="20">
      <c r="A20" t="inlineStr">
        <is>
          <t>2026-02-13</t>
        </is>
      </c>
      <c r="B20" t="inlineStr">
        <is>
          <t>GN-PL3-25A</t>
        </is>
      </c>
      <c r="C20" t="inlineStr">
        <is>
          <t>Herbicide</t>
        </is>
      </c>
      <c r="D20" t="inlineStr">
        <is>
          <t>Glyphosate</t>
        </is>
      </c>
      <c r="E20" t="inlineStr">
        <is>
          <t>3 l/ha</t>
        </is>
      </c>
      <c r="F20" t="n">
        <v>15</v>
      </c>
      <c r="G20" t="inlineStr">
        <is>
          <t>litre</t>
        </is>
      </c>
      <c r="H20" t="n">
        <v>114</v>
      </c>
      <c r="I20" t="n">
        <v>3</v>
      </c>
      <c r="J20" t="n">
        <v>0.5</v>
      </c>
      <c r="K20" t="n">
        <v>0</v>
      </c>
      <c r="M20" t="inlineStr">
        <is>
          <t>S03</t>
        </is>
      </c>
    </row>
    <row r="21">
      <c r="A21" t="inlineStr">
        <is>
          <t>2026-03-08</t>
        </is>
      </c>
      <c r="B21" t="inlineStr">
        <is>
          <t>GN-PL3-25A</t>
        </is>
      </c>
      <c r="C21" t="inlineStr">
        <is>
          <t>Weeding</t>
        </is>
      </c>
      <c r="G21" t="inlineStr">
        <is>
          <t>kg</t>
        </is>
      </c>
      <c r="H21" t="n">
        <v>0</v>
      </c>
      <c r="I21" t="n">
        <v>10</v>
      </c>
      <c r="J21" t="n">
        <v>0</v>
      </c>
      <c r="K21" t="n">
        <v>0</v>
      </c>
      <c r="M21" t="inlineStr">
        <is>
          <t>S03</t>
        </is>
      </c>
    </row>
    <row r="22">
      <c r="A22" t="inlineStr">
        <is>
          <t>2026-05-05</t>
        </is>
      </c>
      <c r="B22" t="inlineStr">
        <is>
          <t>TM-PL1-26A</t>
        </is>
      </c>
      <c r="C22" t="inlineStr">
        <is>
          <t>Land prep</t>
        </is>
      </c>
      <c r="G22" t="inlineStr">
        <is>
          <t>kg</t>
        </is>
      </c>
      <c r="H22" t="n">
        <v>75</v>
      </c>
      <c r="I22" t="n">
        <v>8</v>
      </c>
      <c r="J22" t="n">
        <v>3</v>
      </c>
      <c r="K22" t="n">
        <v>0</v>
      </c>
      <c r="M22" t="inlineStr">
        <is>
          <t>S03</t>
        </is>
      </c>
    </row>
    <row r="23">
      <c r="A23" t="inlineStr">
        <is>
          <t>2026-05-10</t>
        </is>
      </c>
      <c r="B23" t="inlineStr">
        <is>
          <t>TM-PL1-26A</t>
        </is>
      </c>
      <c r="C23" t="inlineStr">
        <is>
          <t>Planting</t>
        </is>
      </c>
      <c r="G23" t="inlineStr">
        <is>
          <t>kg</t>
        </is>
      </c>
      <c r="H23" t="n">
        <v>0</v>
      </c>
      <c r="I23" t="n">
        <v>6</v>
      </c>
      <c r="J23" t="n">
        <v>1</v>
      </c>
      <c r="K23" t="n">
        <v>0</v>
      </c>
      <c r="M23" t="inlineStr">
        <is>
          <t>S03</t>
        </is>
      </c>
    </row>
    <row r="24">
      <c r="A24" t="inlineStr">
        <is>
          <t>2026-06-02</t>
        </is>
      </c>
      <c r="B24" t="inlineStr">
        <is>
          <t>TM-PL1-26A</t>
        </is>
      </c>
      <c r="C24" t="inlineStr">
        <is>
          <t>Basal fert</t>
        </is>
      </c>
      <c r="D24" t="inlineStr">
        <is>
          <t>Compound D</t>
        </is>
      </c>
      <c r="E24" t="inlineStr">
        <is>
          <t>300 kg/ha</t>
        </is>
      </c>
      <c r="F24" t="n">
        <v>600</v>
      </c>
      <c r="G24" t="inlineStr">
        <is>
          <t>kg</t>
        </is>
      </c>
      <c r="H24" t="n">
        <v>188</v>
      </c>
      <c r="I24" t="n">
        <v>4</v>
      </c>
      <c r="J24" t="n">
        <v>1</v>
      </c>
      <c r="K24" t="n">
        <v>0</v>
      </c>
      <c r="M24" t="inlineStr">
        <is>
          <t>S03</t>
        </is>
      </c>
    </row>
    <row r="25">
      <c r="A25" t="inlineStr">
        <is>
          <t>2026-06-23</t>
        </is>
      </c>
      <c r="B25" t="inlineStr">
        <is>
          <t>TM-PL1-26A</t>
        </is>
      </c>
      <c r="C25" t="inlineStr">
        <is>
          <t>Top dressing</t>
        </is>
      </c>
      <c r="D25" t="inlineStr">
        <is>
          <t>AN</t>
        </is>
      </c>
      <c r="E25" t="inlineStr">
        <is>
          <t>150 kg/ha</t>
        </is>
      </c>
      <c r="F25" t="n">
        <v>300</v>
      </c>
      <c r="G25" t="inlineStr">
        <is>
          <t>kg</t>
        </is>
      </c>
      <c r="H25" t="n">
        <v>126</v>
      </c>
      <c r="I25" t="n">
        <v>3</v>
      </c>
      <c r="J25" t="n">
        <v>1</v>
      </c>
      <c r="K25" t="n">
        <v>0</v>
      </c>
      <c r="M25" t="inlineStr">
        <is>
          <t>S03</t>
        </is>
      </c>
    </row>
    <row r="26">
      <c r="A26" t="inlineStr">
        <is>
          <t>2026-07-12</t>
        </is>
      </c>
      <c r="B26" t="inlineStr">
        <is>
          <t>TM-PL1-26A</t>
        </is>
      </c>
      <c r="C26" t="inlineStr">
        <is>
          <t>Herbicide</t>
        </is>
      </c>
      <c r="D26" t="inlineStr">
        <is>
          <t>Glyphosate</t>
        </is>
      </c>
      <c r="E26" t="inlineStr">
        <is>
          <t>3 l/ha</t>
        </is>
      </c>
      <c r="F26" t="n">
        <v>6</v>
      </c>
      <c r="G26" t="inlineStr">
        <is>
          <t>litre</t>
        </is>
      </c>
      <c r="H26" t="n">
        <v>45</v>
      </c>
      <c r="I26" t="n">
        <v>3</v>
      </c>
      <c r="J26" t="n">
        <v>0.5</v>
      </c>
      <c r="K26" t="n">
        <v>0</v>
      </c>
      <c r="M26" t="inlineStr">
        <is>
          <t>S03</t>
        </is>
      </c>
    </row>
    <row r="27">
      <c r="A27" t="inlineStr">
        <is>
          <t>2026-08-07</t>
        </is>
      </c>
      <c r="B27" t="inlineStr">
        <is>
          <t>TM-PL1-26A</t>
        </is>
      </c>
      <c r="C27" t="inlineStr">
        <is>
          <t>Weeding</t>
        </is>
      </c>
      <c r="G27" t="inlineStr">
        <is>
          <t>kg</t>
        </is>
      </c>
      <c r="H27" t="n">
        <v>0</v>
      </c>
      <c r="I27" t="n">
        <v>10</v>
      </c>
      <c r="J27" t="n">
        <v>0</v>
      </c>
      <c r="K27" t="n">
        <v>0</v>
      </c>
      <c r="M27" t="inlineStr">
        <is>
          <t>S03</t>
        </is>
      </c>
    </row>
    <row r="28">
      <c r="A28" t="inlineStr">
        <is>
          <t>2026-05-27</t>
        </is>
      </c>
      <c r="B28" t="inlineStr">
        <is>
          <t>TM-PL2-26A</t>
        </is>
      </c>
      <c r="C28" t="inlineStr">
        <is>
          <t>Land prep</t>
        </is>
      </c>
      <c r="G28" t="inlineStr">
        <is>
          <t>kg</t>
        </is>
      </c>
      <c r="H28" t="n">
        <v>64</v>
      </c>
      <c r="I28" t="n">
        <v>8</v>
      </c>
      <c r="J28" t="n">
        <v>3</v>
      </c>
      <c r="K28" t="n">
        <v>0</v>
      </c>
      <c r="M28" t="inlineStr">
        <is>
          <t>S03</t>
        </is>
      </c>
    </row>
    <row r="29">
      <c r="A29" t="inlineStr">
        <is>
          <t>2026-06-01</t>
        </is>
      </c>
      <c r="B29" t="inlineStr">
        <is>
          <t>TM-PL2-26A</t>
        </is>
      </c>
      <c r="C29" t="inlineStr">
        <is>
          <t>Planting</t>
        </is>
      </c>
      <c r="G29" t="inlineStr">
        <is>
          <t>kg</t>
        </is>
      </c>
      <c r="H29" t="n">
        <v>0</v>
      </c>
      <c r="I29" t="n">
        <v>6</v>
      </c>
      <c r="J29" t="n">
        <v>1</v>
      </c>
      <c r="K29" t="n">
        <v>0</v>
      </c>
      <c r="M29" t="inlineStr">
        <is>
          <t>S03</t>
        </is>
      </c>
    </row>
    <row r="30">
      <c r="A30" t="inlineStr">
        <is>
          <t>2026-06-28</t>
        </is>
      </c>
      <c r="B30" t="inlineStr">
        <is>
          <t>TM-PL2-26A</t>
        </is>
      </c>
      <c r="C30" t="inlineStr">
        <is>
          <t>Basal fert</t>
        </is>
      </c>
      <c r="D30" t="inlineStr">
        <is>
          <t>Compound D</t>
        </is>
      </c>
      <c r="E30" t="inlineStr">
        <is>
          <t>300 kg/ha</t>
        </is>
      </c>
      <c r="F30" t="n">
        <v>600</v>
      </c>
      <c r="G30" t="inlineStr">
        <is>
          <t>kg</t>
        </is>
      </c>
      <c r="H30" t="n">
        <v>186</v>
      </c>
      <c r="I30" t="n">
        <v>4</v>
      </c>
      <c r="J30" t="n">
        <v>1</v>
      </c>
      <c r="K30" t="n">
        <v>0</v>
      </c>
      <c r="M30" t="inlineStr">
        <is>
          <t>S03</t>
        </is>
      </c>
    </row>
    <row r="31">
      <c r="A31" t="inlineStr">
        <is>
          <t>2026-07-16</t>
        </is>
      </c>
      <c r="B31" t="inlineStr">
        <is>
          <t>TM-PL2-26A</t>
        </is>
      </c>
      <c r="C31" t="inlineStr">
        <is>
          <t>Top dressing</t>
        </is>
      </c>
      <c r="D31" t="inlineStr">
        <is>
          <t>AN</t>
        </is>
      </c>
      <c r="E31" t="inlineStr">
        <is>
          <t>150 kg/ha</t>
        </is>
      </c>
      <c r="F31" t="n">
        <v>300</v>
      </c>
      <c r="G31" t="inlineStr">
        <is>
          <t>kg</t>
        </is>
      </c>
      <c r="H31" t="n">
        <v>139</v>
      </c>
      <c r="I31" t="n">
        <v>3</v>
      </c>
      <c r="J31" t="n">
        <v>1</v>
      </c>
      <c r="K31" t="n">
        <v>0</v>
      </c>
      <c r="M31" t="inlineStr">
        <is>
          <t>S03</t>
        </is>
      </c>
    </row>
    <row r="32">
      <c r="A32" t="inlineStr">
        <is>
          <t>2026-08-06</t>
        </is>
      </c>
      <c r="B32" t="inlineStr">
        <is>
          <t>TM-PL2-26A</t>
        </is>
      </c>
      <c r="C32" t="inlineStr">
        <is>
          <t>Herbicide</t>
        </is>
      </c>
      <c r="D32" t="inlineStr">
        <is>
          <t>Glyphosate</t>
        </is>
      </c>
      <c r="E32" t="inlineStr">
        <is>
          <t>3 l/ha</t>
        </is>
      </c>
      <c r="F32" t="n">
        <v>6</v>
      </c>
      <c r="G32" t="inlineStr">
        <is>
          <t>litre</t>
        </is>
      </c>
      <c r="H32" t="n">
        <v>45</v>
      </c>
      <c r="I32" t="n">
        <v>3</v>
      </c>
      <c r="J32" t="n">
        <v>0.5</v>
      </c>
      <c r="K32" t="n">
        <v>0</v>
      </c>
      <c r="M32" t="inlineStr">
        <is>
          <t>S03</t>
        </is>
      </c>
    </row>
    <row r="33">
      <c r="A33" t="inlineStr">
        <is>
          <t>2026-08-25</t>
        </is>
      </c>
      <c r="B33" t="inlineStr">
        <is>
          <t>TM-PL2-26A</t>
        </is>
      </c>
      <c r="C33" t="inlineStr">
        <is>
          <t>Weeding</t>
        </is>
      </c>
      <c r="G33" t="inlineStr">
        <is>
          <t>kg</t>
        </is>
      </c>
      <c r="H33" t="n">
        <v>0</v>
      </c>
      <c r="I33" t="n">
        <v>10</v>
      </c>
      <c r="J33" t="n">
        <v>0</v>
      </c>
      <c r="K33" t="n">
        <v>0</v>
      </c>
      <c r="M33" t="inlineStr">
        <is>
          <t>S03</t>
        </is>
      </c>
    </row>
  </sheetData>
  <mergeCells count="1">
    <mergeCell ref="A1:M1"/>
  </mergeCells>
  <dataValidations count="2">
    <dataValidation sqref="C3:C500" showDropDown="0" showInputMessage="0" showErrorMessage="1" allowBlank="1" errorTitle="Invalid entry" error="Please choose a value from the list." type="list">
      <formula1>LIST_OP_TYPE</formula1>
      <formula2>0</formula2>
    </dataValidation>
    <dataValidation sqref="G3:G500" showDropDown="0" showInputMessage="0" showErrorMessage="1" allowBlank="1" errorTitle="Invalid entry" error="Please choose a value from the list." type="list">
      <formula1>LIST_UNIT_FIELD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FF548235"/>
    <outlinePr summaryBelow="1" summaryRight="1"/>
    <pageSetUpPr/>
  </sheetPr>
  <dimension ref="A1:J45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4" customWidth="1" min="1" max="1"/>
    <col width="17" customWidth="1" min="2" max="2"/>
    <col width="16" customWidth="1" min="3" max="3"/>
    <col width="14" customWidth="1" min="4" max="5"/>
    <col width="16" customWidth="1" min="6" max="6"/>
    <col width="17" customWidth="1" min="7" max="8"/>
    <col width="16" customWidth="1" min="9" max="9"/>
    <col width="14" customWidth="1" min="10" max="10"/>
  </cols>
  <sheetData>
    <row r="1">
      <c r="A1" s="1" t="inlineStr">
        <is>
          <t>PURPOSE: Pest/disease pressure, growth stage, soil moisture — turns the bot into an agronomy advisor, not just an accountant.   |   CADENCE: Weekly walk of each planting   |   ENTERED BY: Field supervisor</t>
        </is>
      </c>
    </row>
    <row r="2">
      <c r="A2" s="11" t="inlineStr">
        <is>
          <t>date</t>
        </is>
      </c>
      <c r="B2" s="11" t="inlineStr">
        <is>
          <t>planting_code</t>
        </is>
      </c>
      <c r="C2" s="11" t="inlineStr">
        <is>
          <t>growth_stage</t>
        </is>
      </c>
      <c r="D2" s="11" t="inlineStr">
        <is>
          <t>issue_type</t>
        </is>
      </c>
      <c r="E2" s="11" t="inlineStr">
        <is>
          <t>issue_name</t>
        </is>
      </c>
      <c r="F2" s="11" t="inlineStr">
        <is>
          <t>severity_1_5</t>
        </is>
      </c>
      <c r="G2" s="11" t="inlineStr">
        <is>
          <t>incidence_pct</t>
        </is>
      </c>
      <c r="H2" s="11" t="inlineStr">
        <is>
          <t>soil_moisture</t>
        </is>
      </c>
      <c r="I2" s="11" t="inlineStr">
        <is>
          <t>action_taken</t>
        </is>
      </c>
      <c r="J2" s="11" t="inlineStr">
        <is>
          <t>scouted_by</t>
        </is>
      </c>
    </row>
    <row r="3">
      <c r="A3" s="8" t="inlineStr">
        <is>
          <t>2026-01-12</t>
        </is>
      </c>
      <c r="B3" s="7" t="inlineStr">
        <is>
          <t>MZ-P3-2025A</t>
        </is>
      </c>
      <c r="C3" s="7" t="inlineStr">
        <is>
          <t>V6</t>
        </is>
      </c>
      <c r="D3" s="7" t="inlineStr">
        <is>
          <t>Pest</t>
        </is>
      </c>
      <c r="E3" s="7" t="inlineStr">
        <is>
          <t>Fall armyworm</t>
        </is>
      </c>
      <c r="F3" s="7" t="n">
        <v>2</v>
      </c>
      <c r="G3" s="7" t="n">
        <v>8</v>
      </c>
      <c r="H3" s="7" t="inlineStr">
        <is>
          <t>Moist</t>
        </is>
      </c>
      <c r="I3" s="7" t="inlineStr">
        <is>
          <t>Spot-sprayed affected rows</t>
        </is>
      </c>
      <c r="J3" s="7" t="inlineStr">
        <is>
          <t>S03</t>
        </is>
      </c>
    </row>
    <row r="4">
      <c r="A4" t="inlineStr">
        <is>
          <t>2025-12-04</t>
        </is>
      </c>
      <c r="B4" t="inlineStr">
        <is>
          <t>MZ-PL1-25A</t>
        </is>
      </c>
      <c r="C4" t="inlineStr">
        <is>
          <t>Emergence</t>
        </is>
      </c>
      <c r="D4" t="inlineStr">
        <is>
          <t>Pest</t>
        </is>
      </c>
      <c r="E4" t="inlineStr">
        <is>
          <t>Aphids</t>
        </is>
      </c>
      <c r="F4" t="n">
        <v>2</v>
      </c>
      <c r="G4" t="n">
        <v>15</v>
      </c>
      <c r="H4" t="inlineStr">
        <is>
          <t>Moist</t>
        </is>
      </c>
      <c r="I4" t="inlineStr">
        <is>
          <t>Spot-sprayed affected rows</t>
        </is>
      </c>
      <c r="J4" t="inlineStr">
        <is>
          <t>S03</t>
        </is>
      </c>
    </row>
    <row r="5">
      <c r="A5" t="inlineStr">
        <is>
          <t>2025-12-18</t>
        </is>
      </c>
      <c r="B5" t="inlineStr">
        <is>
          <t>MZ-PL1-25A</t>
        </is>
      </c>
      <c r="C5" t="inlineStr">
        <is>
          <t>V6</t>
        </is>
      </c>
      <c r="D5" t="inlineStr">
        <is>
          <t>None</t>
        </is>
      </c>
      <c r="E5" t="inlineStr">
        <is>
          <t>None</t>
        </is>
      </c>
      <c r="G5" t="n">
        <v>0</v>
      </c>
      <c r="H5" t="inlineStr">
        <is>
          <t>Moist</t>
        </is>
      </c>
      <c r="J5" t="inlineStr">
        <is>
          <t>S03</t>
        </is>
      </c>
    </row>
    <row r="6">
      <c r="A6" t="inlineStr">
        <is>
          <t>2026-01-01</t>
        </is>
      </c>
      <c r="B6" t="inlineStr">
        <is>
          <t>MZ-PL1-25A</t>
        </is>
      </c>
      <c r="C6" t="inlineStr">
        <is>
          <t>Tasselling</t>
        </is>
      </c>
      <c r="D6" t="inlineStr">
        <is>
          <t>Disease</t>
        </is>
      </c>
      <c r="E6" t="inlineStr">
        <is>
          <t>Grey leaf spot</t>
        </is>
      </c>
      <c r="F6" t="n">
        <v>2</v>
      </c>
      <c r="G6" t="n">
        <v>8</v>
      </c>
      <c r="H6" t="inlineStr">
        <is>
          <t>Moist</t>
        </is>
      </c>
      <c r="I6" t="inlineStr">
        <is>
          <t>Spot-sprayed affected rows</t>
        </is>
      </c>
      <c r="J6" t="inlineStr">
        <is>
          <t>S03</t>
        </is>
      </c>
    </row>
    <row r="7">
      <c r="A7" t="inlineStr">
        <is>
          <t>2026-01-15</t>
        </is>
      </c>
      <c r="B7" t="inlineStr">
        <is>
          <t>MZ-PL1-25A</t>
        </is>
      </c>
      <c r="C7" t="inlineStr">
        <is>
          <t>Silking</t>
        </is>
      </c>
      <c r="D7" t="inlineStr">
        <is>
          <t>None</t>
        </is>
      </c>
      <c r="E7" t="inlineStr">
        <is>
          <t>None</t>
        </is>
      </c>
      <c r="G7" t="n">
        <v>0</v>
      </c>
      <c r="H7" t="inlineStr">
        <is>
          <t>Moist</t>
        </is>
      </c>
      <c r="J7" t="inlineStr">
        <is>
          <t>S03</t>
        </is>
      </c>
    </row>
    <row r="8">
      <c r="A8" t="inlineStr">
        <is>
          <t>2026-01-29</t>
        </is>
      </c>
      <c r="B8" t="inlineStr">
        <is>
          <t>MZ-PL1-25A</t>
        </is>
      </c>
      <c r="C8" t="inlineStr">
        <is>
          <t>Grain fill</t>
        </is>
      </c>
      <c r="D8" t="inlineStr">
        <is>
          <t>None</t>
        </is>
      </c>
      <c r="E8" t="inlineStr">
        <is>
          <t>None</t>
        </is>
      </c>
      <c r="G8" t="n">
        <v>0</v>
      </c>
      <c r="H8" t="inlineStr">
        <is>
          <t>Moist</t>
        </is>
      </c>
      <c r="J8" t="inlineStr">
        <is>
          <t>S03</t>
        </is>
      </c>
    </row>
    <row r="9">
      <c r="A9" t="inlineStr">
        <is>
          <t>2026-02-12</t>
        </is>
      </c>
      <c r="B9" t="inlineStr">
        <is>
          <t>MZ-PL1-25A</t>
        </is>
      </c>
      <c r="C9" t="inlineStr">
        <is>
          <t>Maturity</t>
        </is>
      </c>
      <c r="D9" t="inlineStr">
        <is>
          <t>Pest</t>
        </is>
      </c>
      <c r="E9" t="inlineStr">
        <is>
          <t>Fall armyworm</t>
        </is>
      </c>
      <c r="F9" t="n">
        <v>3</v>
      </c>
      <c r="G9" t="n">
        <v>20</v>
      </c>
      <c r="H9" t="inlineStr">
        <is>
          <t>Moist</t>
        </is>
      </c>
      <c r="I9" t="inlineStr">
        <is>
          <t>Spot-sprayed affected rows</t>
        </is>
      </c>
      <c r="J9" t="inlineStr">
        <is>
          <t>S03</t>
        </is>
      </c>
    </row>
    <row r="10">
      <c r="A10" t="inlineStr">
        <is>
          <t>2026-02-26</t>
        </is>
      </c>
      <c r="B10" t="inlineStr">
        <is>
          <t>MZ-PL1-25A</t>
        </is>
      </c>
      <c r="C10" t="inlineStr">
        <is>
          <t>Maturity</t>
        </is>
      </c>
      <c r="D10" t="inlineStr">
        <is>
          <t>Nutrient</t>
        </is>
      </c>
      <c r="E10" t="inlineStr">
        <is>
          <t>Nitrogen deficiency</t>
        </is>
      </c>
      <c r="F10" t="n">
        <v>1</v>
      </c>
      <c r="G10" t="n">
        <v>11</v>
      </c>
      <c r="H10" t="inlineStr">
        <is>
          <t>Moist</t>
        </is>
      </c>
      <c r="I10" t="inlineStr">
        <is>
          <t>Top-dressed early</t>
        </is>
      </c>
      <c r="J10" t="inlineStr">
        <is>
          <t>S03</t>
        </is>
      </c>
    </row>
    <row r="11">
      <c r="A11" t="inlineStr">
        <is>
          <t>2026-03-12</t>
        </is>
      </c>
      <c r="B11" t="inlineStr">
        <is>
          <t>MZ-PL1-25A</t>
        </is>
      </c>
      <c r="C11" t="inlineStr">
        <is>
          <t>Maturity</t>
        </is>
      </c>
      <c r="D11" t="inlineStr">
        <is>
          <t>Weed</t>
        </is>
      </c>
      <c r="E11" t="inlineStr">
        <is>
          <t>Witchweed</t>
        </is>
      </c>
      <c r="F11" t="n">
        <v>3</v>
      </c>
      <c r="G11" t="n">
        <v>12</v>
      </c>
      <c r="H11" t="inlineStr">
        <is>
          <t>Moist</t>
        </is>
      </c>
      <c r="I11" t="inlineStr">
        <is>
          <t>Hand-weeded</t>
        </is>
      </c>
      <c r="J11" t="inlineStr">
        <is>
          <t>S03</t>
        </is>
      </c>
    </row>
    <row r="12">
      <c r="A12" t="inlineStr">
        <is>
          <t>2026-03-26</t>
        </is>
      </c>
      <c r="B12" t="inlineStr">
        <is>
          <t>MZ-PL1-25A</t>
        </is>
      </c>
      <c r="C12" t="inlineStr">
        <is>
          <t>Maturity</t>
        </is>
      </c>
      <c r="D12" t="inlineStr">
        <is>
          <t>Pest</t>
        </is>
      </c>
      <c r="E12" t="inlineStr">
        <is>
          <t>Aphids</t>
        </is>
      </c>
      <c r="F12" t="n">
        <v>2</v>
      </c>
      <c r="G12" t="n">
        <v>4</v>
      </c>
      <c r="H12" t="inlineStr">
        <is>
          <t>Moist</t>
        </is>
      </c>
      <c r="I12" t="inlineStr">
        <is>
          <t>Spot-sprayed affected rows</t>
        </is>
      </c>
      <c r="J12" t="inlineStr">
        <is>
          <t>S03</t>
        </is>
      </c>
    </row>
    <row r="13">
      <c r="A13" t="inlineStr">
        <is>
          <t>2026-04-09</t>
        </is>
      </c>
      <c r="B13" t="inlineStr">
        <is>
          <t>MZ-PL1-25A</t>
        </is>
      </c>
      <c r="C13" t="inlineStr">
        <is>
          <t>Maturity</t>
        </is>
      </c>
      <c r="D13" t="inlineStr">
        <is>
          <t>None</t>
        </is>
      </c>
      <c r="E13" t="inlineStr">
        <is>
          <t>None</t>
        </is>
      </c>
      <c r="G13" t="n">
        <v>0</v>
      </c>
      <c r="H13" t="inlineStr">
        <is>
          <t>Dry</t>
        </is>
      </c>
      <c r="J13" t="inlineStr">
        <is>
          <t>S03</t>
        </is>
      </c>
    </row>
    <row r="14">
      <c r="A14" t="inlineStr">
        <is>
          <t>2025-12-12</t>
        </is>
      </c>
      <c r="B14" t="inlineStr">
        <is>
          <t>SB-PL2-25A</t>
        </is>
      </c>
      <c r="C14" t="inlineStr">
        <is>
          <t>Emergence</t>
        </is>
      </c>
      <c r="D14" t="inlineStr">
        <is>
          <t>None</t>
        </is>
      </c>
      <c r="E14" t="inlineStr">
        <is>
          <t>None</t>
        </is>
      </c>
      <c r="G14" t="n">
        <v>0</v>
      </c>
      <c r="H14" t="inlineStr">
        <is>
          <t>Moist</t>
        </is>
      </c>
      <c r="J14" t="inlineStr">
        <is>
          <t>S03</t>
        </is>
      </c>
    </row>
    <row r="15">
      <c r="A15" t="inlineStr">
        <is>
          <t>2025-12-26</t>
        </is>
      </c>
      <c r="B15" t="inlineStr">
        <is>
          <t>SB-PL2-25A</t>
        </is>
      </c>
      <c r="C15" t="inlineStr">
        <is>
          <t>V6</t>
        </is>
      </c>
      <c r="D15" t="inlineStr">
        <is>
          <t>Nutrient</t>
        </is>
      </c>
      <c r="E15" t="inlineStr">
        <is>
          <t>Nitrogen deficiency</t>
        </is>
      </c>
      <c r="F15" t="n">
        <v>1</v>
      </c>
      <c r="G15" t="n">
        <v>14</v>
      </c>
      <c r="H15" t="inlineStr">
        <is>
          <t>Moist</t>
        </is>
      </c>
      <c r="I15" t="inlineStr">
        <is>
          <t>Top-dressed early</t>
        </is>
      </c>
      <c r="J15" t="inlineStr">
        <is>
          <t>S03</t>
        </is>
      </c>
    </row>
    <row r="16">
      <c r="A16" t="inlineStr">
        <is>
          <t>2026-01-09</t>
        </is>
      </c>
      <c r="B16" t="inlineStr">
        <is>
          <t>SB-PL2-25A</t>
        </is>
      </c>
      <c r="C16" t="inlineStr">
        <is>
          <t>Tasselling</t>
        </is>
      </c>
      <c r="D16" t="inlineStr">
        <is>
          <t>Pest</t>
        </is>
      </c>
      <c r="E16" t="inlineStr">
        <is>
          <t>Fall armyworm</t>
        </is>
      </c>
      <c r="F16" t="n">
        <v>1</v>
      </c>
      <c r="G16" t="n">
        <v>8</v>
      </c>
      <c r="H16" t="inlineStr">
        <is>
          <t>Moist</t>
        </is>
      </c>
      <c r="I16" t="inlineStr">
        <is>
          <t>Spot-sprayed affected rows</t>
        </is>
      </c>
      <c r="J16" t="inlineStr">
        <is>
          <t>S03</t>
        </is>
      </c>
    </row>
    <row r="17">
      <c r="A17" t="inlineStr">
        <is>
          <t>2026-01-23</t>
        </is>
      </c>
      <c r="B17" t="inlineStr">
        <is>
          <t>SB-PL2-25A</t>
        </is>
      </c>
      <c r="C17" t="inlineStr">
        <is>
          <t>Silking</t>
        </is>
      </c>
      <c r="D17" t="inlineStr">
        <is>
          <t>Weed</t>
        </is>
      </c>
      <c r="E17" t="inlineStr">
        <is>
          <t>Witchweed</t>
        </is>
      </c>
      <c r="F17" t="n">
        <v>1</v>
      </c>
      <c r="G17" t="n">
        <v>13</v>
      </c>
      <c r="H17" t="inlineStr">
        <is>
          <t>Moist</t>
        </is>
      </c>
      <c r="I17" t="inlineStr">
        <is>
          <t>Hand-weeded</t>
        </is>
      </c>
      <c r="J17" t="inlineStr">
        <is>
          <t>S03</t>
        </is>
      </c>
    </row>
    <row r="18">
      <c r="A18" t="inlineStr">
        <is>
          <t>2026-02-06</t>
        </is>
      </c>
      <c r="B18" t="inlineStr">
        <is>
          <t>SB-PL2-25A</t>
        </is>
      </c>
      <c r="C18" t="inlineStr">
        <is>
          <t>Grain fill</t>
        </is>
      </c>
      <c r="D18" t="inlineStr">
        <is>
          <t>None</t>
        </is>
      </c>
      <c r="E18" t="inlineStr">
        <is>
          <t>None</t>
        </is>
      </c>
      <c r="G18" t="n">
        <v>0</v>
      </c>
      <c r="H18" t="inlineStr">
        <is>
          <t>Moist</t>
        </is>
      </c>
      <c r="J18" t="inlineStr">
        <is>
          <t>S03</t>
        </is>
      </c>
    </row>
    <row r="19">
      <c r="A19" t="inlineStr">
        <is>
          <t>2026-02-20</t>
        </is>
      </c>
      <c r="B19" t="inlineStr">
        <is>
          <t>SB-PL2-25A</t>
        </is>
      </c>
      <c r="C19" t="inlineStr">
        <is>
          <t>Maturity</t>
        </is>
      </c>
      <c r="D19" t="inlineStr">
        <is>
          <t>Pest</t>
        </is>
      </c>
      <c r="E19" t="inlineStr">
        <is>
          <t>Fall armyworm</t>
        </is>
      </c>
      <c r="F19" t="n">
        <v>1</v>
      </c>
      <c r="G19" t="n">
        <v>14</v>
      </c>
      <c r="H19" t="inlineStr">
        <is>
          <t>Moist</t>
        </is>
      </c>
      <c r="I19" t="inlineStr">
        <is>
          <t>Spot-sprayed affected rows</t>
        </is>
      </c>
      <c r="J19" t="inlineStr">
        <is>
          <t>S03</t>
        </is>
      </c>
    </row>
    <row r="20">
      <c r="A20" t="inlineStr">
        <is>
          <t>2026-03-06</t>
        </is>
      </c>
      <c r="B20" t="inlineStr">
        <is>
          <t>SB-PL2-25A</t>
        </is>
      </c>
      <c r="C20" t="inlineStr">
        <is>
          <t>Maturity</t>
        </is>
      </c>
      <c r="D20" t="inlineStr">
        <is>
          <t>None</t>
        </is>
      </c>
      <c r="E20" t="inlineStr">
        <is>
          <t>None</t>
        </is>
      </c>
      <c r="G20" t="n">
        <v>0</v>
      </c>
      <c r="H20" t="inlineStr">
        <is>
          <t>Moist</t>
        </is>
      </c>
      <c r="J20" t="inlineStr">
        <is>
          <t>S03</t>
        </is>
      </c>
    </row>
    <row r="21">
      <c r="A21" t="inlineStr">
        <is>
          <t>2026-03-20</t>
        </is>
      </c>
      <c r="B21" t="inlineStr">
        <is>
          <t>SB-PL2-25A</t>
        </is>
      </c>
      <c r="C21" t="inlineStr">
        <is>
          <t>Maturity</t>
        </is>
      </c>
      <c r="D21" t="inlineStr">
        <is>
          <t>Pest</t>
        </is>
      </c>
      <c r="E21" t="inlineStr">
        <is>
          <t>Aphids</t>
        </is>
      </c>
      <c r="F21" t="n">
        <v>3</v>
      </c>
      <c r="G21" t="n">
        <v>20</v>
      </c>
      <c r="H21" t="inlineStr">
        <is>
          <t>Moist</t>
        </is>
      </c>
      <c r="I21" t="inlineStr">
        <is>
          <t>Spot-sprayed affected rows</t>
        </is>
      </c>
      <c r="J21" t="inlineStr">
        <is>
          <t>S03</t>
        </is>
      </c>
    </row>
    <row r="22">
      <c r="A22" t="inlineStr">
        <is>
          <t>2025-12-16</t>
        </is>
      </c>
      <c r="B22" t="inlineStr">
        <is>
          <t>GN-PL3-25A</t>
        </is>
      </c>
      <c r="C22" t="inlineStr">
        <is>
          <t>Emergence</t>
        </is>
      </c>
      <c r="D22" t="inlineStr">
        <is>
          <t>Pest</t>
        </is>
      </c>
      <c r="E22" t="inlineStr">
        <is>
          <t>Aphids</t>
        </is>
      </c>
      <c r="F22" t="n">
        <v>2</v>
      </c>
      <c r="G22" t="n">
        <v>4</v>
      </c>
      <c r="H22" t="inlineStr">
        <is>
          <t>Moist</t>
        </is>
      </c>
      <c r="I22" t="inlineStr">
        <is>
          <t>Spot-sprayed affected rows</t>
        </is>
      </c>
      <c r="J22" t="inlineStr">
        <is>
          <t>S03</t>
        </is>
      </c>
    </row>
    <row r="23">
      <c r="A23" t="inlineStr">
        <is>
          <t>2025-12-30</t>
        </is>
      </c>
      <c r="B23" t="inlineStr">
        <is>
          <t>GN-PL3-25A</t>
        </is>
      </c>
      <c r="C23" t="inlineStr">
        <is>
          <t>V6</t>
        </is>
      </c>
      <c r="D23" t="inlineStr">
        <is>
          <t>Weed</t>
        </is>
      </c>
      <c r="E23" t="inlineStr">
        <is>
          <t>Witchweed</t>
        </is>
      </c>
      <c r="F23" t="n">
        <v>3</v>
      </c>
      <c r="G23" t="n">
        <v>17</v>
      </c>
      <c r="H23" t="inlineStr">
        <is>
          <t>Moist</t>
        </is>
      </c>
      <c r="I23" t="inlineStr">
        <is>
          <t>Hand-weeded</t>
        </is>
      </c>
      <c r="J23" t="inlineStr">
        <is>
          <t>S03</t>
        </is>
      </c>
    </row>
    <row r="24">
      <c r="A24" t="inlineStr">
        <is>
          <t>2026-01-13</t>
        </is>
      </c>
      <c r="B24" t="inlineStr">
        <is>
          <t>GN-PL3-25A</t>
        </is>
      </c>
      <c r="C24" t="inlineStr">
        <is>
          <t>Tasselling</t>
        </is>
      </c>
      <c r="D24" t="inlineStr">
        <is>
          <t>Nutrient</t>
        </is>
      </c>
      <c r="E24" t="inlineStr">
        <is>
          <t>Nitrogen deficiency</t>
        </is>
      </c>
      <c r="F24" t="n">
        <v>2</v>
      </c>
      <c r="G24" t="n">
        <v>20</v>
      </c>
      <c r="H24" t="inlineStr">
        <is>
          <t>Moist</t>
        </is>
      </c>
      <c r="I24" t="inlineStr">
        <is>
          <t>Top-dressed early</t>
        </is>
      </c>
      <c r="J24" t="inlineStr">
        <is>
          <t>S03</t>
        </is>
      </c>
    </row>
    <row r="25">
      <c r="A25" t="inlineStr">
        <is>
          <t>2026-01-27</t>
        </is>
      </c>
      <c r="B25" t="inlineStr">
        <is>
          <t>GN-PL3-25A</t>
        </is>
      </c>
      <c r="C25" t="inlineStr">
        <is>
          <t>Silking</t>
        </is>
      </c>
      <c r="D25" t="inlineStr">
        <is>
          <t>None</t>
        </is>
      </c>
      <c r="E25" t="inlineStr">
        <is>
          <t>None</t>
        </is>
      </c>
      <c r="G25" t="n">
        <v>0</v>
      </c>
      <c r="H25" t="inlineStr">
        <is>
          <t>Moist</t>
        </is>
      </c>
      <c r="J25" t="inlineStr">
        <is>
          <t>S03</t>
        </is>
      </c>
    </row>
    <row r="26">
      <c r="A26" t="inlineStr">
        <is>
          <t>2026-02-10</t>
        </is>
      </c>
      <c r="B26" t="inlineStr">
        <is>
          <t>GN-PL3-25A</t>
        </is>
      </c>
      <c r="C26" t="inlineStr">
        <is>
          <t>Grain fill</t>
        </is>
      </c>
      <c r="D26" t="inlineStr">
        <is>
          <t>Weed</t>
        </is>
      </c>
      <c r="E26" t="inlineStr">
        <is>
          <t>Witchweed</t>
        </is>
      </c>
      <c r="F26" t="n">
        <v>1</v>
      </c>
      <c r="G26" t="n">
        <v>8</v>
      </c>
      <c r="H26" t="inlineStr">
        <is>
          <t>Moist</t>
        </is>
      </c>
      <c r="I26" t="inlineStr">
        <is>
          <t>Hand-weeded</t>
        </is>
      </c>
      <c r="J26" t="inlineStr">
        <is>
          <t>S03</t>
        </is>
      </c>
    </row>
    <row r="27">
      <c r="A27" t="inlineStr">
        <is>
          <t>2026-02-24</t>
        </is>
      </c>
      <c r="B27" t="inlineStr">
        <is>
          <t>GN-PL3-25A</t>
        </is>
      </c>
      <c r="C27" t="inlineStr">
        <is>
          <t>Maturity</t>
        </is>
      </c>
      <c r="D27" t="inlineStr">
        <is>
          <t>Nutrient</t>
        </is>
      </c>
      <c r="E27" t="inlineStr">
        <is>
          <t>Nitrogen deficiency</t>
        </is>
      </c>
      <c r="F27" t="n">
        <v>2</v>
      </c>
      <c r="G27" t="n">
        <v>13</v>
      </c>
      <c r="H27" t="inlineStr">
        <is>
          <t>Moist</t>
        </is>
      </c>
      <c r="I27" t="inlineStr">
        <is>
          <t>Top-dressed early</t>
        </is>
      </c>
      <c r="J27" t="inlineStr">
        <is>
          <t>S03</t>
        </is>
      </c>
    </row>
    <row r="28">
      <c r="A28" t="inlineStr">
        <is>
          <t>2026-03-10</t>
        </is>
      </c>
      <c r="B28" t="inlineStr">
        <is>
          <t>GN-PL3-25A</t>
        </is>
      </c>
      <c r="C28" t="inlineStr">
        <is>
          <t>Maturity</t>
        </is>
      </c>
      <c r="D28" t="inlineStr">
        <is>
          <t>None</t>
        </is>
      </c>
      <c r="E28" t="inlineStr">
        <is>
          <t>None</t>
        </is>
      </c>
      <c r="G28" t="n">
        <v>0</v>
      </c>
      <c r="H28" t="inlineStr">
        <is>
          <t>Moist</t>
        </is>
      </c>
      <c r="J28" t="inlineStr">
        <is>
          <t>S03</t>
        </is>
      </c>
    </row>
    <row r="29">
      <c r="A29" t="inlineStr">
        <is>
          <t>2026-03-24</t>
        </is>
      </c>
      <c r="B29" t="inlineStr">
        <is>
          <t>GN-PL3-25A</t>
        </is>
      </c>
      <c r="C29" t="inlineStr">
        <is>
          <t>Maturity</t>
        </is>
      </c>
      <c r="D29" t="inlineStr">
        <is>
          <t>Weed</t>
        </is>
      </c>
      <c r="E29" t="inlineStr">
        <is>
          <t>Witchweed</t>
        </is>
      </c>
      <c r="F29" t="n">
        <v>2</v>
      </c>
      <c r="G29" t="n">
        <v>20</v>
      </c>
      <c r="H29" t="inlineStr">
        <is>
          <t>Moist</t>
        </is>
      </c>
      <c r="I29" t="inlineStr">
        <is>
          <t>Hand-weeded</t>
        </is>
      </c>
      <c r="J29" t="inlineStr">
        <is>
          <t>S03</t>
        </is>
      </c>
    </row>
    <row r="30">
      <c r="A30" t="inlineStr">
        <is>
          <t>2026-04-07</t>
        </is>
      </c>
      <c r="B30" t="inlineStr">
        <is>
          <t>GN-PL3-25A</t>
        </is>
      </c>
      <c r="C30" t="inlineStr">
        <is>
          <t>Maturity</t>
        </is>
      </c>
      <c r="D30" t="inlineStr">
        <is>
          <t>Pest</t>
        </is>
      </c>
      <c r="E30" t="inlineStr">
        <is>
          <t>Aphids</t>
        </is>
      </c>
      <c r="F30" t="n">
        <v>1</v>
      </c>
      <c r="G30" t="n">
        <v>19</v>
      </c>
      <c r="H30" t="inlineStr">
        <is>
          <t>Dry</t>
        </is>
      </c>
      <c r="I30" t="inlineStr">
        <is>
          <t>Spot-sprayed affected rows</t>
        </is>
      </c>
      <c r="J30" t="inlineStr">
        <is>
          <t>S03</t>
        </is>
      </c>
    </row>
    <row r="31">
      <c r="A31" t="inlineStr">
        <is>
          <t>2026-04-21</t>
        </is>
      </c>
      <c r="B31" t="inlineStr">
        <is>
          <t>GN-PL3-25A</t>
        </is>
      </c>
      <c r="C31" t="inlineStr">
        <is>
          <t>Maturity</t>
        </is>
      </c>
      <c r="D31" t="inlineStr">
        <is>
          <t>Weed</t>
        </is>
      </c>
      <c r="E31" t="inlineStr">
        <is>
          <t>Witchweed</t>
        </is>
      </c>
      <c r="F31" t="n">
        <v>2</v>
      </c>
      <c r="G31" t="n">
        <v>11</v>
      </c>
      <c r="H31" t="inlineStr">
        <is>
          <t>Moist</t>
        </is>
      </c>
      <c r="I31" t="inlineStr">
        <is>
          <t>Hand-weeded</t>
        </is>
      </c>
      <c r="J31" t="inlineStr">
        <is>
          <t>S03</t>
        </is>
      </c>
    </row>
    <row r="32">
      <c r="A32" t="inlineStr">
        <is>
          <t>2026-05-24</t>
        </is>
      </c>
      <c r="B32" t="inlineStr">
        <is>
          <t>TM-PL1-26A</t>
        </is>
      </c>
      <c r="C32" t="inlineStr">
        <is>
          <t>Emergence</t>
        </is>
      </c>
      <c r="D32" t="inlineStr">
        <is>
          <t>Pest</t>
        </is>
      </c>
      <c r="E32" t="inlineStr">
        <is>
          <t>Aphids</t>
        </is>
      </c>
      <c r="F32" t="n">
        <v>3</v>
      </c>
      <c r="G32" t="n">
        <v>18</v>
      </c>
      <c r="H32" t="inlineStr">
        <is>
          <t>Dry</t>
        </is>
      </c>
      <c r="I32" t="inlineStr">
        <is>
          <t>Spot-sprayed affected rows</t>
        </is>
      </c>
      <c r="J32" t="inlineStr">
        <is>
          <t>S03</t>
        </is>
      </c>
    </row>
    <row r="33">
      <c r="A33" t="inlineStr">
        <is>
          <t>2026-06-07</t>
        </is>
      </c>
      <c r="B33" t="inlineStr">
        <is>
          <t>TM-PL1-26A</t>
        </is>
      </c>
      <c r="C33" t="inlineStr">
        <is>
          <t>V6</t>
        </is>
      </c>
      <c r="D33" t="inlineStr">
        <is>
          <t>Nutrient</t>
        </is>
      </c>
      <c r="E33" t="inlineStr">
        <is>
          <t>Nitrogen deficiency</t>
        </is>
      </c>
      <c r="F33" t="n">
        <v>2</v>
      </c>
      <c r="G33" t="n">
        <v>13</v>
      </c>
      <c r="H33" t="inlineStr">
        <is>
          <t>Moist</t>
        </is>
      </c>
      <c r="I33" t="inlineStr">
        <is>
          <t>Top-dressed early</t>
        </is>
      </c>
      <c r="J33" t="inlineStr">
        <is>
          <t>S03</t>
        </is>
      </c>
    </row>
    <row r="34">
      <c r="A34" t="inlineStr">
        <is>
          <t>2026-06-21</t>
        </is>
      </c>
      <c r="B34" t="inlineStr">
        <is>
          <t>TM-PL1-26A</t>
        </is>
      </c>
      <c r="C34" t="inlineStr">
        <is>
          <t>Tasselling</t>
        </is>
      </c>
      <c r="D34" t="inlineStr">
        <is>
          <t>None</t>
        </is>
      </c>
      <c r="E34" t="inlineStr">
        <is>
          <t>None</t>
        </is>
      </c>
      <c r="G34" t="n">
        <v>0</v>
      </c>
      <c r="H34" t="inlineStr">
        <is>
          <t>Moist</t>
        </is>
      </c>
      <c r="J34" t="inlineStr">
        <is>
          <t>S03</t>
        </is>
      </c>
    </row>
    <row r="35">
      <c r="A35" t="inlineStr">
        <is>
          <t>2026-07-05</t>
        </is>
      </c>
      <c r="B35" t="inlineStr">
        <is>
          <t>TM-PL1-26A</t>
        </is>
      </c>
      <c r="C35" t="inlineStr">
        <is>
          <t>Silking</t>
        </is>
      </c>
      <c r="D35" t="inlineStr">
        <is>
          <t>Pest</t>
        </is>
      </c>
      <c r="E35" t="inlineStr">
        <is>
          <t>Fall armyworm</t>
        </is>
      </c>
      <c r="F35" t="n">
        <v>1</v>
      </c>
      <c r="G35" t="n">
        <v>19</v>
      </c>
      <c r="H35" t="inlineStr">
        <is>
          <t>Dry</t>
        </is>
      </c>
      <c r="I35" t="inlineStr">
        <is>
          <t>Spot-sprayed affected rows</t>
        </is>
      </c>
      <c r="J35" t="inlineStr">
        <is>
          <t>S03</t>
        </is>
      </c>
    </row>
    <row r="36">
      <c r="A36" t="inlineStr">
        <is>
          <t>2026-07-19</t>
        </is>
      </c>
      <c r="B36" t="inlineStr">
        <is>
          <t>TM-PL1-26A</t>
        </is>
      </c>
      <c r="C36" t="inlineStr">
        <is>
          <t>Grain fill</t>
        </is>
      </c>
      <c r="D36" t="inlineStr">
        <is>
          <t>Pest</t>
        </is>
      </c>
      <c r="E36" t="inlineStr">
        <is>
          <t>Fall armyworm</t>
        </is>
      </c>
      <c r="F36" t="n">
        <v>1</v>
      </c>
      <c r="G36" t="n">
        <v>8</v>
      </c>
      <c r="H36" t="inlineStr">
        <is>
          <t>Dry</t>
        </is>
      </c>
      <c r="I36" t="inlineStr">
        <is>
          <t>Spot-sprayed affected rows</t>
        </is>
      </c>
      <c r="J36" t="inlineStr">
        <is>
          <t>S03</t>
        </is>
      </c>
    </row>
    <row r="37">
      <c r="A37" t="inlineStr">
        <is>
          <t>2026-08-02</t>
        </is>
      </c>
      <c r="B37" t="inlineStr">
        <is>
          <t>TM-PL1-26A</t>
        </is>
      </c>
      <c r="C37" t="inlineStr">
        <is>
          <t>Maturity</t>
        </is>
      </c>
      <c r="D37" t="inlineStr">
        <is>
          <t>Pest</t>
        </is>
      </c>
      <c r="E37" t="inlineStr">
        <is>
          <t>Aphids</t>
        </is>
      </c>
      <c r="F37" t="n">
        <v>1</v>
      </c>
      <c r="G37" t="n">
        <v>18</v>
      </c>
      <c r="H37" t="inlineStr">
        <is>
          <t>Dry</t>
        </is>
      </c>
      <c r="I37" t="inlineStr">
        <is>
          <t>Spot-sprayed affected rows</t>
        </is>
      </c>
      <c r="J37" t="inlineStr">
        <is>
          <t>S03</t>
        </is>
      </c>
    </row>
    <row r="38">
      <c r="A38" t="inlineStr">
        <is>
          <t>2026-08-16</t>
        </is>
      </c>
      <c r="B38" t="inlineStr">
        <is>
          <t>TM-PL1-26A</t>
        </is>
      </c>
      <c r="C38" t="inlineStr">
        <is>
          <t>Maturity</t>
        </is>
      </c>
      <c r="D38" t="inlineStr">
        <is>
          <t>Pest</t>
        </is>
      </c>
      <c r="E38" t="inlineStr">
        <is>
          <t>Fall armyworm</t>
        </is>
      </c>
      <c r="F38" t="n">
        <v>1</v>
      </c>
      <c r="G38" t="n">
        <v>15</v>
      </c>
      <c r="H38" t="inlineStr">
        <is>
          <t>Moist</t>
        </is>
      </c>
      <c r="I38" t="inlineStr">
        <is>
          <t>Spot-sprayed affected rows</t>
        </is>
      </c>
      <c r="J38" t="inlineStr">
        <is>
          <t>S03</t>
        </is>
      </c>
    </row>
    <row r="39">
      <c r="A39" t="inlineStr">
        <is>
          <t>2026-06-15</t>
        </is>
      </c>
      <c r="B39" t="inlineStr">
        <is>
          <t>TM-PL2-26A</t>
        </is>
      </c>
      <c r="C39" t="inlineStr">
        <is>
          <t>Emergence</t>
        </is>
      </c>
      <c r="D39" t="inlineStr">
        <is>
          <t>None</t>
        </is>
      </c>
      <c r="E39" t="inlineStr">
        <is>
          <t>None</t>
        </is>
      </c>
      <c r="G39" t="n">
        <v>0</v>
      </c>
      <c r="H39" t="inlineStr">
        <is>
          <t>Dry</t>
        </is>
      </c>
      <c r="J39" t="inlineStr">
        <is>
          <t>S03</t>
        </is>
      </c>
    </row>
    <row r="40">
      <c r="A40" t="inlineStr">
        <is>
          <t>2026-06-29</t>
        </is>
      </c>
      <c r="B40" t="inlineStr">
        <is>
          <t>TM-PL2-26A</t>
        </is>
      </c>
      <c r="C40" t="inlineStr">
        <is>
          <t>V6</t>
        </is>
      </c>
      <c r="D40" t="inlineStr">
        <is>
          <t>Disease</t>
        </is>
      </c>
      <c r="E40" t="inlineStr">
        <is>
          <t>Grey leaf spot</t>
        </is>
      </c>
      <c r="F40" t="n">
        <v>3</v>
      </c>
      <c r="G40" t="n">
        <v>16</v>
      </c>
      <c r="H40" t="inlineStr">
        <is>
          <t>Moist</t>
        </is>
      </c>
      <c r="I40" t="inlineStr">
        <is>
          <t>Spot-sprayed affected rows</t>
        </is>
      </c>
      <c r="J40" t="inlineStr">
        <is>
          <t>S03</t>
        </is>
      </c>
    </row>
    <row r="41">
      <c r="A41" t="inlineStr">
        <is>
          <t>2026-07-13</t>
        </is>
      </c>
      <c r="B41" t="inlineStr">
        <is>
          <t>TM-PL2-26A</t>
        </is>
      </c>
      <c r="C41" t="inlineStr">
        <is>
          <t>Tasselling</t>
        </is>
      </c>
      <c r="D41" t="inlineStr">
        <is>
          <t>None</t>
        </is>
      </c>
      <c r="E41" t="inlineStr">
        <is>
          <t>None</t>
        </is>
      </c>
      <c r="G41" t="n">
        <v>0</v>
      </c>
      <c r="H41" t="inlineStr">
        <is>
          <t>Dry</t>
        </is>
      </c>
      <c r="J41" t="inlineStr">
        <is>
          <t>S03</t>
        </is>
      </c>
    </row>
    <row r="42">
      <c r="A42" t="inlineStr">
        <is>
          <t>2026-07-27</t>
        </is>
      </c>
      <c r="B42" t="inlineStr">
        <is>
          <t>TM-PL2-26A</t>
        </is>
      </c>
      <c r="C42" t="inlineStr">
        <is>
          <t>Silking</t>
        </is>
      </c>
      <c r="D42" t="inlineStr">
        <is>
          <t>Nutrient</t>
        </is>
      </c>
      <c r="E42" t="inlineStr">
        <is>
          <t>Nitrogen deficiency</t>
        </is>
      </c>
      <c r="F42" t="n">
        <v>2</v>
      </c>
      <c r="G42" t="n">
        <v>19</v>
      </c>
      <c r="H42" t="inlineStr">
        <is>
          <t>Dry</t>
        </is>
      </c>
      <c r="I42" t="inlineStr">
        <is>
          <t>Top-dressed early</t>
        </is>
      </c>
      <c r="J42" t="inlineStr">
        <is>
          <t>S03</t>
        </is>
      </c>
    </row>
    <row r="43">
      <c r="A43" t="inlineStr">
        <is>
          <t>2026-08-10</t>
        </is>
      </c>
      <c r="B43" t="inlineStr">
        <is>
          <t>TM-PL2-26A</t>
        </is>
      </c>
      <c r="C43" t="inlineStr">
        <is>
          <t>Grain fill</t>
        </is>
      </c>
      <c r="D43" t="inlineStr">
        <is>
          <t>None</t>
        </is>
      </c>
      <c r="E43" t="inlineStr">
        <is>
          <t>None</t>
        </is>
      </c>
      <c r="G43" t="n">
        <v>0</v>
      </c>
      <c r="H43" t="inlineStr">
        <is>
          <t>Dry</t>
        </is>
      </c>
      <c r="J43" t="inlineStr">
        <is>
          <t>S03</t>
        </is>
      </c>
    </row>
    <row r="44">
      <c r="A44" t="inlineStr">
        <is>
          <t>2026-08-24</t>
        </is>
      </c>
      <c r="B44" t="inlineStr">
        <is>
          <t>TM-PL2-26A</t>
        </is>
      </c>
      <c r="C44" t="inlineStr">
        <is>
          <t>Maturity</t>
        </is>
      </c>
      <c r="D44" t="inlineStr">
        <is>
          <t>Disease</t>
        </is>
      </c>
      <c r="E44" t="inlineStr">
        <is>
          <t>Grey leaf spot</t>
        </is>
      </c>
      <c r="F44" t="n">
        <v>1</v>
      </c>
      <c r="G44" t="n">
        <v>9</v>
      </c>
      <c r="H44" t="inlineStr">
        <is>
          <t>Dry</t>
        </is>
      </c>
      <c r="I44" t="inlineStr">
        <is>
          <t>Spot-sprayed affected rows</t>
        </is>
      </c>
      <c r="J44" t="inlineStr">
        <is>
          <t>S03</t>
        </is>
      </c>
    </row>
    <row r="45">
      <c r="A45" t="inlineStr">
        <is>
          <t>2026-09-07</t>
        </is>
      </c>
      <c r="B45" t="inlineStr">
        <is>
          <t>TM-PL2-26A</t>
        </is>
      </c>
      <c r="C45" t="inlineStr">
        <is>
          <t>Maturity</t>
        </is>
      </c>
      <c r="D45" t="inlineStr">
        <is>
          <t>Pest</t>
        </is>
      </c>
      <c r="E45" t="inlineStr">
        <is>
          <t>Fall armyworm</t>
        </is>
      </c>
      <c r="F45" t="n">
        <v>3</v>
      </c>
      <c r="G45" t="n">
        <v>10</v>
      </c>
      <c r="H45" t="inlineStr">
        <is>
          <t>Moist</t>
        </is>
      </c>
      <c r="I45" t="inlineStr">
        <is>
          <t>Spot-sprayed affected rows</t>
        </is>
      </c>
      <c r="J45" t="inlineStr">
        <is>
          <t>S03</t>
        </is>
      </c>
    </row>
  </sheetData>
  <mergeCells count="1">
    <mergeCell ref="A1:J1"/>
  </mergeCells>
  <dataValidations count="3">
    <dataValidation sqref="C3:C500" showDropDown="0" showInputMessage="0" showErrorMessage="1" allowBlank="1" errorTitle="Invalid entry" error="Please choose a value from the list." type="list">
      <formula1>LIST_GROWTH_STAGE</formula1>
      <formula2>0</formula2>
    </dataValidation>
    <dataValidation sqref="D3:D500" showDropDown="0" showInputMessage="0" showErrorMessage="1" allowBlank="1" errorTitle="Invalid entry" error="Please choose a value from the list." type="list">
      <formula1>LIST_ISSUE_TYPE</formula1>
      <formula2>0</formula2>
    </dataValidation>
    <dataValidation sqref="H3:H500" showDropDown="0" showInputMessage="0" showErrorMessage="1" allowBlank="1" errorTitle="Invalid entry" error="Please choose a value from the list." type="list">
      <formula1>LIST_SOIL_MOISTURE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FF548235"/>
    <outlinePr summaryBelow="1" summaryRight="1"/>
    <pageSetUpPr/>
  </sheetPr>
  <dimension ref="A1:I7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4" customWidth="1" min="1" max="1"/>
    <col width="17" customWidth="1" min="2" max="2"/>
    <col width="14" customWidth="1" min="3" max="3"/>
    <col width="15" customWidth="1" min="4" max="4"/>
    <col width="16" customWidth="1" min="5" max="5"/>
    <col width="14" customWidth="1" min="6" max="6"/>
    <col width="17" customWidth="1" min="7" max="7"/>
    <col width="20" customWidth="1" min="8" max="8"/>
    <col width="16" customWidth="1" min="9" max="9"/>
  </cols>
  <sheetData>
    <row r="1">
      <c r="A1" s="1" t="inlineStr">
        <is>
          <t>PURPOSE: Yield, moisture, grade, post-harvest loss.   |   CADENCE: Per harvest day   |   ENTERED BY: Supervisor at the scale / bag count</t>
        </is>
      </c>
    </row>
    <row r="2">
      <c r="A2" s="11" t="inlineStr">
        <is>
          <t>date</t>
        </is>
      </c>
      <c r="B2" s="11" t="inlineStr">
        <is>
          <t>planting_code</t>
        </is>
      </c>
      <c r="C2" s="11" t="inlineStr">
        <is>
          <t>bags</t>
        </is>
      </c>
      <c r="D2" s="11" t="inlineStr">
        <is>
          <t>quantity_kg</t>
        </is>
      </c>
      <c r="E2" s="11" t="inlineStr">
        <is>
          <t>moisture_pct</t>
        </is>
      </c>
      <c r="F2" s="11" t="inlineStr">
        <is>
          <t>grade</t>
        </is>
      </c>
      <c r="G2" s="11" t="inlineStr">
        <is>
          <t>field_loss_kg</t>
        </is>
      </c>
      <c r="H2" s="11" t="inlineStr">
        <is>
          <t>storage_location</t>
        </is>
      </c>
      <c r="I2" s="11" t="inlineStr">
        <is>
          <t>labour_hours</t>
        </is>
      </c>
    </row>
    <row r="3">
      <c r="A3" s="8" t="inlineStr">
        <is>
          <t>2026-04-20</t>
        </is>
      </c>
      <c r="B3" s="7" t="inlineStr">
        <is>
          <t>MZ-P3-2025A</t>
        </is>
      </c>
      <c r="C3" s="7" t="n">
        <v>66</v>
      </c>
      <c r="D3" s="7">
        <f>C3*50</f>
        <v/>
      </c>
      <c r="E3" s="7" t="n">
        <v>12.5</v>
      </c>
      <c r="F3" s="7" t="inlineStr">
        <is>
          <t>A</t>
        </is>
      </c>
      <c r="G3" s="7" t="n">
        <v>40</v>
      </c>
      <c r="H3" s="7" t="inlineStr">
        <is>
          <t>Silo 1</t>
        </is>
      </c>
      <c r="I3" s="7" t="n">
        <v>20</v>
      </c>
    </row>
    <row r="4">
      <c r="A4" t="inlineStr">
        <is>
          <t>2026-04-12</t>
        </is>
      </c>
      <c r="B4" t="inlineStr">
        <is>
          <t>MZ-PL1-25A</t>
        </is>
      </c>
      <c r="C4" t="n">
        <v>710</v>
      </c>
      <c r="D4">
        <f>C4*50</f>
        <v/>
      </c>
      <c r="E4" t="n">
        <v>12.3</v>
      </c>
      <c r="F4" t="inlineStr">
        <is>
          <t>A</t>
        </is>
      </c>
      <c r="G4" t="n">
        <v>710</v>
      </c>
      <c r="H4" t="inlineStr">
        <is>
          <t>Silo 1</t>
        </is>
      </c>
      <c r="I4" t="n">
        <v>34</v>
      </c>
    </row>
    <row r="5">
      <c r="A5" t="inlineStr">
        <is>
          <t>2026-03-28</t>
        </is>
      </c>
      <c r="B5" t="inlineStr">
        <is>
          <t>SB-PL2-25A</t>
        </is>
      </c>
      <c r="C5" t="n">
        <v>368</v>
      </c>
      <c r="D5">
        <f>C5*50</f>
        <v/>
      </c>
      <c r="E5" t="n">
        <v>10.2</v>
      </c>
      <c r="F5" t="inlineStr">
        <is>
          <t>A</t>
        </is>
      </c>
      <c r="G5" t="n">
        <v>368</v>
      </c>
      <c r="H5" t="inlineStr">
        <is>
          <t>Silo 1</t>
        </is>
      </c>
      <c r="I5" t="n">
        <v>45</v>
      </c>
    </row>
    <row r="6">
      <c r="A6" t="inlineStr">
        <is>
          <t>2026-04-22</t>
        </is>
      </c>
      <c r="B6" t="inlineStr">
        <is>
          <t>GN-PL3-25A</t>
        </is>
      </c>
      <c r="C6" t="n">
        <v>137</v>
      </c>
      <c r="D6">
        <f>C6*50</f>
        <v/>
      </c>
      <c r="E6" t="n">
        <v>9.5</v>
      </c>
      <c r="F6" t="inlineStr">
        <is>
          <t>B</t>
        </is>
      </c>
      <c r="G6" t="n">
        <v>137</v>
      </c>
      <c r="H6" t="inlineStr">
        <is>
          <t>Silo 1</t>
        </is>
      </c>
      <c r="I6" t="n">
        <v>32</v>
      </c>
    </row>
    <row r="7">
      <c r="A7" t="inlineStr">
        <is>
          <t>2026-08-18</t>
        </is>
      </c>
      <c r="B7" t="inlineStr">
        <is>
          <t>TM-PL1-26A</t>
        </is>
      </c>
      <c r="C7" t="n">
        <v>905</v>
      </c>
      <c r="D7">
        <f>C7*50</f>
        <v/>
      </c>
      <c r="F7" t="inlineStr">
        <is>
          <t>A</t>
        </is>
      </c>
      <c r="G7" t="n">
        <v>905</v>
      </c>
      <c r="H7" t="inlineStr">
        <is>
          <t>Sold direct</t>
        </is>
      </c>
      <c r="I7" t="n">
        <v>12</v>
      </c>
    </row>
  </sheetData>
  <mergeCells count="1">
    <mergeCell ref="A1:I1"/>
  </mergeCells>
  <dataValidations count="2">
    <dataValidation sqref="F3:F500" showDropDown="0" showInputMessage="0" showErrorMessage="1" allowBlank="1" errorTitle="Invalid entry" error="Please choose a value from the list." type="list">
      <formula1>LIST_GRADE</formula1>
      <formula2>0</formula2>
    </dataValidation>
    <dataValidation sqref="H3:H500" showDropDown="0" showInputMessage="0" showErrorMessage="1" allowBlank="1" errorTitle="Invalid entry" error="Please choose a value from the list." type="list">
      <formula1>LIST_STORAGE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2026-09-15T20:36:36Z</dcterms:created>
  <dcterms:modified xmlns:dcterms="http://purl.org/dc/terms/" xmlns:xsi="http://www.w3.org/2001/XMLSchema-instance" xsi:type="dcterms:W3CDTF">2026-09-15T21:57:05Z</dcterms:modified>
  <cp:lastModifiedBy>Sylvester Vhashe [student]</cp:lastModifiedBy>
  <cp:revision>0</cp:revision>
</cp:coreProperties>
</file>